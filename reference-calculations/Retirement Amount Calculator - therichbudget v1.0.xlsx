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D:\YouTube\8- How much you need  - All calculations in one place\"/>
    </mc:Choice>
  </mc:AlternateContent>
  <xr:revisionPtr revIDLastSave="0" documentId="13_ncr:1_{62CD5F94-1EA6-4D09-AB02-13394C02E317}" xr6:coauthVersionLast="43" xr6:coauthVersionMax="43" xr10:uidLastSave="{00000000-0000-0000-0000-000000000000}"/>
  <bookViews>
    <workbookView xWindow="-108" yWindow="-108" windowWidth="23256" windowHeight="12576" tabRatio="841" xr2:uid="{00000000-000D-0000-FFFF-FFFF00000000}"/>
  </bookViews>
  <sheets>
    <sheet name="All Calculations" sheetId="18" r:id="rId1"/>
    <sheet name="Retirement Goal - Detailed Calc" sheetId="4" r:id="rId2"/>
    <sheet name="Monthly SIP Calculator" sheetId="6" r:id="rId3"/>
    <sheet name="password" sheetId="19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2" i="4" l="1"/>
  <c r="E48" i="4"/>
  <c r="E47" i="4"/>
  <c r="E46" i="4"/>
  <c r="E45" i="4"/>
  <c r="E44" i="4"/>
  <c r="E43" i="4"/>
  <c r="E42" i="4"/>
  <c r="E41" i="4"/>
  <c r="E40" i="4"/>
  <c r="E39" i="4"/>
  <c r="B48" i="4"/>
  <c r="B47" i="4"/>
  <c r="B46" i="4"/>
  <c r="B45" i="4"/>
  <c r="B44" i="4"/>
  <c r="B43" i="4"/>
  <c r="B42" i="4"/>
  <c r="B41" i="4"/>
  <c r="B40" i="4"/>
  <c r="B39" i="4"/>
  <c r="E36" i="4"/>
  <c r="E35" i="4"/>
  <c r="E34" i="4"/>
  <c r="E33" i="4"/>
  <c r="E32" i="4"/>
  <c r="E31" i="4"/>
  <c r="E30" i="4"/>
  <c r="E29" i="4"/>
  <c r="E28" i="4"/>
  <c r="E27" i="4"/>
  <c r="B36" i="4"/>
  <c r="B35" i="4"/>
  <c r="B34" i="4"/>
  <c r="B33" i="4"/>
  <c r="B32" i="4"/>
  <c r="B31" i="4"/>
  <c r="B30" i="4"/>
  <c r="B29" i="4"/>
  <c r="B28" i="4"/>
  <c r="A34" i="4"/>
  <c r="C7" i="4" l="1"/>
  <c r="A11" i="4" l="1"/>
  <c r="A9" i="4"/>
  <c r="C42" i="18" l="1"/>
  <c r="A12" i="4"/>
  <c r="C33" i="18"/>
  <c r="B27" i="4"/>
  <c r="B18" i="4"/>
  <c r="E24" i="4"/>
  <c r="E23" i="4"/>
  <c r="E22" i="4"/>
  <c r="E21" i="4"/>
  <c r="E20" i="4"/>
  <c r="E19" i="4"/>
  <c r="E18" i="4"/>
  <c r="E17" i="4"/>
  <c r="E16" i="4"/>
  <c r="E15" i="4"/>
  <c r="B24" i="4"/>
  <c r="B23" i="4"/>
  <c r="B22" i="4"/>
  <c r="B21" i="4"/>
  <c r="B20" i="4"/>
  <c r="B19" i="4"/>
  <c r="B17" i="4"/>
  <c r="B16" i="4"/>
  <c r="G21" i="18"/>
  <c r="C21" i="18"/>
  <c r="C23" i="18" s="1"/>
  <c r="E13" i="18"/>
  <c r="E10" i="18"/>
  <c r="E7" i="18"/>
  <c r="E4" i="18"/>
  <c r="A13" i="18"/>
  <c r="A4" i="18"/>
  <c r="A10" i="18"/>
  <c r="A7" i="18"/>
  <c r="C13" i="18"/>
  <c r="C7" i="18"/>
  <c r="G7" i="18"/>
  <c r="B15" i="4"/>
  <c r="C15" i="4" s="1"/>
  <c r="D48" i="4"/>
  <c r="D47" i="4"/>
  <c r="D46" i="4"/>
  <c r="D45" i="4"/>
  <c r="D44" i="4"/>
  <c r="D43" i="4"/>
  <c r="D42" i="4"/>
  <c r="D41" i="4"/>
  <c r="D40" i="4"/>
  <c r="D39" i="4"/>
  <c r="A48" i="4"/>
  <c r="A47" i="4"/>
  <c r="A46" i="4"/>
  <c r="A45" i="4"/>
  <c r="A44" i="4"/>
  <c r="A43" i="4"/>
  <c r="A42" i="4"/>
  <c r="A41" i="4"/>
  <c r="A40" i="4"/>
  <c r="A39" i="4"/>
  <c r="D36" i="4"/>
  <c r="D35" i="4"/>
  <c r="D34" i="4"/>
  <c r="D33" i="4"/>
  <c r="D32" i="4"/>
  <c r="D31" i="4"/>
  <c r="D30" i="4"/>
  <c r="D29" i="4"/>
  <c r="D28" i="4"/>
  <c r="D27" i="4"/>
  <c r="A36" i="4"/>
  <c r="A35" i="4"/>
  <c r="A33" i="4"/>
  <c r="A32" i="4"/>
  <c r="A31" i="4"/>
  <c r="A30" i="4"/>
  <c r="A29" i="4"/>
  <c r="A28" i="4"/>
  <c r="A27" i="4"/>
  <c r="A24" i="4"/>
  <c r="G13" i="18"/>
  <c r="G24" i="18" l="1"/>
  <c r="G25" i="18" s="1"/>
  <c r="A15" i="4"/>
  <c r="A16" i="4"/>
  <c r="C16" i="4"/>
  <c r="A17" i="4"/>
  <c r="C17" i="4"/>
  <c r="A18" i="4"/>
  <c r="C18" i="4"/>
  <c r="A19" i="4"/>
  <c r="A20" i="4"/>
  <c r="C20" i="4"/>
  <c r="A21" i="4"/>
  <c r="A22" i="4"/>
  <c r="C22" i="4"/>
  <c r="A23" i="4"/>
  <c r="C23" i="4"/>
  <c r="D24" i="4"/>
  <c r="D23" i="4"/>
  <c r="D22" i="4"/>
  <c r="D21" i="4"/>
  <c r="D20" i="4"/>
  <c r="D19" i="4"/>
  <c r="D18" i="4"/>
  <c r="D17" i="4"/>
  <c r="D16" i="4"/>
  <c r="D15" i="4"/>
  <c r="F24" i="4"/>
  <c r="F23" i="4"/>
  <c r="F22" i="4"/>
  <c r="F21" i="4"/>
  <c r="F20" i="4"/>
  <c r="F19" i="4"/>
  <c r="F18" i="4"/>
  <c r="F17" i="4"/>
  <c r="F16" i="4"/>
  <c r="F15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B5" i="4"/>
  <c r="C37" i="4" l="1"/>
  <c r="F37" i="4"/>
  <c r="F25" i="4"/>
  <c r="B4" i="6"/>
  <c r="B9" i="4"/>
  <c r="C48" i="4"/>
  <c r="F44" i="4"/>
  <c r="C41" i="4"/>
  <c r="F40" i="4"/>
  <c r="C47" i="4"/>
  <c r="F43" i="4"/>
  <c r="C45" i="4"/>
  <c r="C40" i="4"/>
  <c r="F48" i="4"/>
  <c r="C43" i="4"/>
  <c r="F41" i="4"/>
  <c r="F46" i="4"/>
  <c r="F39" i="4"/>
  <c r="C46" i="4"/>
  <c r="F42" i="4"/>
  <c r="C39" i="4"/>
  <c r="F47" i="4"/>
  <c r="C44" i="4"/>
  <c r="F45" i="4"/>
  <c r="C42" i="4"/>
  <c r="B6" i="4"/>
  <c r="B11" i="4" l="1"/>
  <c r="F49" i="4"/>
  <c r="C49" i="4"/>
  <c r="B7" i="6"/>
  <c r="B3" i="6" l="1"/>
  <c r="B8" i="6" s="1"/>
  <c r="B10" i="6" s="1"/>
  <c r="D21" i="6" l="1"/>
  <c r="D36" i="6"/>
  <c r="D35" i="6"/>
  <c r="D34" i="6"/>
  <c r="D33" i="6"/>
  <c r="D37" i="6"/>
  <c r="B20" i="6"/>
  <c r="B16" i="6"/>
  <c r="D22" i="6"/>
  <c r="D16" i="6"/>
  <c r="B23" i="6"/>
  <c r="B19" i="6"/>
  <c r="B15" i="6"/>
  <c r="D19" i="6"/>
  <c r="D24" i="6"/>
  <c r="B17" i="6"/>
  <c r="D15" i="6"/>
  <c r="B22" i="6"/>
  <c r="D20" i="6"/>
  <c r="D32" i="6"/>
  <c r="B34" i="6"/>
  <c r="D31" i="6"/>
  <c r="B33" i="6"/>
  <c r="B31" i="6"/>
  <c r="D30" i="6"/>
  <c r="B32" i="6"/>
  <c r="D29" i="6"/>
  <c r="D28" i="6"/>
  <c r="B30" i="6"/>
  <c r="B36" i="6"/>
  <c r="B35" i="6"/>
  <c r="B37" i="6"/>
  <c r="B29" i="6"/>
  <c r="B28" i="6"/>
  <c r="D17" i="6"/>
  <c r="B21" i="6"/>
  <c r="B24" i="6"/>
  <c r="D18" i="6"/>
  <c r="B18" i="6"/>
  <c r="D23" i="6"/>
  <c r="C19" i="4"/>
  <c r="C24" i="4"/>
  <c r="C21" i="4"/>
  <c r="C25" i="4" l="1"/>
  <c r="G33" i="18"/>
</calcChain>
</file>

<file path=xl/sharedStrings.xml><?xml version="1.0" encoding="utf-8"?>
<sst xmlns="http://schemas.openxmlformats.org/spreadsheetml/2006/main" count="133" uniqueCount="105">
  <si>
    <t>Monthly</t>
  </si>
  <si>
    <t>Yearly</t>
  </si>
  <si>
    <t>Year 1</t>
  </si>
  <si>
    <t>Year 11</t>
  </si>
  <si>
    <t>Year 2</t>
  </si>
  <si>
    <t>Year 12</t>
  </si>
  <si>
    <t>Year 3</t>
  </si>
  <si>
    <t>Year 13</t>
  </si>
  <si>
    <t>Year 4</t>
  </si>
  <si>
    <t>Year 14</t>
  </si>
  <si>
    <t>Year 5</t>
  </si>
  <si>
    <t>Year 15</t>
  </si>
  <si>
    <t>Year 6</t>
  </si>
  <si>
    <t>Year 16</t>
  </si>
  <si>
    <t>Year 7</t>
  </si>
  <si>
    <t>Year 17</t>
  </si>
  <si>
    <t>Year 8</t>
  </si>
  <si>
    <t>Year 18</t>
  </si>
  <si>
    <t>Year 9</t>
  </si>
  <si>
    <t>Year 19</t>
  </si>
  <si>
    <t>Year 10</t>
  </si>
  <si>
    <t>Year 20</t>
  </si>
  <si>
    <t>Montly</t>
  </si>
  <si>
    <t>Year 21</t>
  </si>
  <si>
    <t>Year 31</t>
  </si>
  <si>
    <t>Year 22</t>
  </si>
  <si>
    <t>Year 32</t>
  </si>
  <si>
    <t>Year 23</t>
  </si>
  <si>
    <t>Year 33</t>
  </si>
  <si>
    <t>Year 24</t>
  </si>
  <si>
    <t>Year 34</t>
  </si>
  <si>
    <t>Year 25</t>
  </si>
  <si>
    <t>Year 35</t>
  </si>
  <si>
    <t>Year 26</t>
  </si>
  <si>
    <t>Year 36</t>
  </si>
  <si>
    <t>Year 27</t>
  </si>
  <si>
    <t>Year 37</t>
  </si>
  <si>
    <t>Year 28</t>
  </si>
  <si>
    <t>Year 38</t>
  </si>
  <si>
    <t>Year 29</t>
  </si>
  <si>
    <t>Year 39</t>
  </si>
  <si>
    <t>Year 30</t>
  </si>
  <si>
    <t>Year 40</t>
  </si>
  <si>
    <t>Inflation</t>
  </si>
  <si>
    <t>Your Current Age</t>
  </si>
  <si>
    <t>Cash Flow Requirement (Years)</t>
  </si>
  <si>
    <t>Today's Monthly Expenses</t>
  </si>
  <si>
    <t>Inflation %</t>
  </si>
  <si>
    <t>Expected Return on Investment</t>
  </si>
  <si>
    <t>Monthly SIP Required</t>
  </si>
  <si>
    <t>Current Savings/Investments Corpus Contribution</t>
  </si>
  <si>
    <t>Balance Corpus Needed</t>
  </si>
  <si>
    <t>Remaining full time working years</t>
  </si>
  <si>
    <t>Risk free return(for Lumpsum Investment post retirement)</t>
  </si>
  <si>
    <t>Monthly SIP Calculation to achieve GOAL Amount</t>
  </si>
  <si>
    <t>Expected Return on Current Investments</t>
  </si>
  <si>
    <t>Future Cash Flow Requirments</t>
  </si>
  <si>
    <t>Money Accumulation Over Years</t>
  </si>
  <si>
    <t>Monthly SIP</t>
  </si>
  <si>
    <t>Current Value</t>
  </si>
  <si>
    <t>Future Corpus</t>
  </si>
  <si>
    <t>Nbr Years</t>
  </si>
  <si>
    <t>Past Value</t>
  </si>
  <si>
    <t>Past vs Current Value</t>
  </si>
  <si>
    <t>Current Earnings  vs Past Earnings</t>
  </si>
  <si>
    <t>Past Earning</t>
  </si>
  <si>
    <t>Current Earnings vs Future Requirement</t>
  </si>
  <si>
    <t>Future Requirement</t>
  </si>
  <si>
    <t>Future Corpus vs Present Value</t>
  </si>
  <si>
    <t>GOAL Planning (Education, Marriage, Vacation etc)</t>
  </si>
  <si>
    <t>GOAL AMOUNT</t>
  </si>
  <si>
    <t>GOAL Planning (Retirement, Financial Freedom)</t>
  </si>
  <si>
    <t>Current Monthly Expenses</t>
  </si>
  <si>
    <t>Nbr Years to retire / financial independence</t>
  </si>
  <si>
    <t>As of today</t>
  </si>
  <si>
    <t>e.g (60-Current Age)</t>
  </si>
  <si>
    <t>Life Expectancy - Retirement Age</t>
  </si>
  <si>
    <t>ROI % ( FD, RD, MF SIP etc)</t>
  </si>
  <si>
    <t>Number of years post retirement</t>
  </si>
  <si>
    <t>GOAL Corpus</t>
  </si>
  <si>
    <t>ROI %( Equity, FD, RD etc)</t>
  </si>
  <si>
    <t>Monthly SIP vs Corpus Amount</t>
  </si>
  <si>
    <t>Total Accumulated Corpus</t>
  </si>
  <si>
    <t>Rate of Return Calculation</t>
  </si>
  <si>
    <t>Starting Amount</t>
  </si>
  <si>
    <t>Nbr. Of Years</t>
  </si>
  <si>
    <t>SIP Required (Monthly)</t>
  </si>
  <si>
    <t>Total Accumulated Amount(Ending Amount)</t>
  </si>
  <si>
    <t>2x/5x/10x/50x/100x Calculation</t>
  </si>
  <si>
    <t>xCalculation</t>
  </si>
  <si>
    <t>Expected Rate of Return (CAGR)</t>
  </si>
  <si>
    <t>Rate of return required (CAGR)</t>
  </si>
  <si>
    <t>Average Inflation %</t>
  </si>
  <si>
    <t>Value Today</t>
  </si>
  <si>
    <t>Current Earnings</t>
  </si>
  <si>
    <t>Number of Year</t>
  </si>
  <si>
    <t>Goal Value (As of Today)</t>
  </si>
  <si>
    <t>Future required amount (monthly) at retirement</t>
  </si>
  <si>
    <t>Number of Years to achieve the goal amount</t>
  </si>
  <si>
    <t>Financial Freedom Age / Retirement Age</t>
  </si>
  <si>
    <t>Retirement Corpus Calculator (Enter in Yellow Cells)</t>
  </si>
  <si>
    <t>Life Expectancy</t>
  </si>
  <si>
    <t>GOAL Amount (Financial Freedom/ Retirement)</t>
  </si>
  <si>
    <t>Current Savings/Investments as of Today</t>
  </si>
  <si>
    <r>
      <t>In case you would like to edit the worksheet / would like to review the formulas - please use "</t>
    </r>
    <r>
      <rPr>
        <b/>
        <sz val="11"/>
        <color rgb="FF000000"/>
        <rFont val="Calibri"/>
        <family val="2"/>
      </rPr>
      <t>therichbudget</t>
    </r>
    <r>
      <rPr>
        <sz val="11"/>
        <color rgb="FF000000"/>
        <rFont val="Calibri"/>
      </rPr>
      <t>" as the password to unprotect the sheet.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</si>
</sst>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[$-F800]dddd\,\ mmmm\ dd\,\ yyyy"/>
    <numFmt numFmtId="165" formatCode="[$-24009]mmmm\ dd\,\ yyyy;@"/>
    <numFmt numFmtId="166" formatCode="[$-409]mmm/yy;@"/>
    <numFmt numFmtId="167" formatCode="[$-409]mmmm/yy;@"/>
  </numFmts>
  <fonts count="12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8"/>
      <name val="Calibri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39997558519241921"/>
        <bgColor rgb="FFBDD6EE"/>
      </patternFill>
    </fill>
    <fill>
      <patternFill patternType="solid">
        <fgColor theme="5" tint="0.39997558519241921"/>
        <bgColor rgb="FFF7CAAC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4">
    <xf numFmtId="0" fontId="0" fillId="0" borderId="0" xfId="0" applyFont="1" applyAlignment="1"/>
    <xf numFmtId="3" fontId="6" fillId="5" borderId="17" xfId="0" applyNumberFormat="1" applyFont="1" applyFill="1" applyBorder="1" applyAlignment="1" applyProtection="1">
      <alignment horizontal="center" vertical="center"/>
      <protection locked="0"/>
    </xf>
    <xf numFmtId="1" fontId="6" fillId="5" borderId="17" xfId="0" applyNumberFormat="1" applyFont="1" applyFill="1" applyBorder="1" applyAlignment="1" applyProtection="1">
      <alignment horizontal="center" vertical="center"/>
      <protection locked="0"/>
    </xf>
    <xf numFmtId="10" fontId="6" fillId="5" borderId="17" xfId="0" applyNumberFormat="1" applyFont="1" applyFill="1" applyBorder="1" applyAlignment="1" applyProtection="1">
      <alignment horizontal="center" vertical="center"/>
      <protection locked="0"/>
    </xf>
    <xf numFmtId="8" fontId="6" fillId="5" borderId="20" xfId="0" applyNumberFormat="1" applyFont="1" applyFill="1" applyBorder="1" applyAlignment="1" applyProtection="1">
      <alignment horizontal="center" vertical="center"/>
      <protection locked="0"/>
    </xf>
    <xf numFmtId="1" fontId="6" fillId="5" borderId="20" xfId="0" applyNumberFormat="1" applyFont="1" applyFill="1" applyBorder="1" applyAlignment="1" applyProtection="1">
      <alignment horizontal="center" vertical="center"/>
      <protection locked="0"/>
    </xf>
    <xf numFmtId="9" fontId="6" fillId="5" borderId="20" xfId="1" applyFont="1" applyFill="1" applyBorder="1" applyAlignment="1" applyProtection="1">
      <alignment horizontal="center" vertical="center"/>
      <protection locked="0"/>
    </xf>
    <xf numFmtId="8" fontId="6" fillId="5" borderId="17" xfId="0" applyNumberFormat="1" applyFont="1" applyFill="1" applyBorder="1" applyAlignment="1" applyProtection="1">
      <alignment horizontal="center" vertical="center"/>
      <protection locked="0"/>
    </xf>
    <xf numFmtId="9" fontId="6" fillId="5" borderId="17" xfId="1" applyFont="1" applyFill="1" applyBorder="1" applyAlignment="1" applyProtection="1">
      <alignment horizontal="center" vertical="center"/>
      <protection locked="0"/>
    </xf>
    <xf numFmtId="0" fontId="6" fillId="5" borderId="17" xfId="1" applyNumberFormat="1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protection locked="0"/>
    </xf>
    <xf numFmtId="0" fontId="6" fillId="6" borderId="1" xfId="0" applyFont="1" applyFill="1" applyBorder="1" applyAlignment="1" applyProtection="1">
      <protection locked="0"/>
    </xf>
    <xf numFmtId="0" fontId="6" fillId="6" borderId="4" xfId="0" applyFont="1" applyFill="1" applyBorder="1" applyAlignment="1" applyProtection="1">
      <protection locked="0"/>
    </xf>
    <xf numFmtId="0" fontId="6" fillId="6" borderId="5" xfId="0" applyFont="1" applyFill="1" applyBorder="1" applyAlignment="1" applyProtection="1">
      <protection locked="0"/>
    </xf>
    <xf numFmtId="165" fontId="6" fillId="6" borderId="5" xfId="0" applyNumberFormat="1" applyFont="1" applyFill="1" applyBorder="1" applyAlignment="1" applyProtection="1">
      <alignment horizontal="center" vertical="center"/>
      <protection locked="0"/>
    </xf>
    <xf numFmtId="0" fontId="6" fillId="6" borderId="6" xfId="0" applyFont="1" applyFill="1" applyBorder="1" applyAlignment="1" applyProtection="1">
      <protection locked="0"/>
    </xf>
    <xf numFmtId="0" fontId="6" fillId="6" borderId="7" xfId="0" applyFont="1" applyFill="1" applyBorder="1" applyAlignment="1" applyProtection="1">
      <protection locked="0"/>
    </xf>
    <xf numFmtId="165" fontId="6" fillId="6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16" xfId="0" applyFont="1" applyFill="1" applyBorder="1" applyAlignment="1" applyProtection="1">
      <alignment horizontal="left" vertical="center" indent="1"/>
      <protection locked="0"/>
    </xf>
    <xf numFmtId="0" fontId="6" fillId="3" borderId="16" xfId="0" applyFont="1" applyFill="1" applyBorder="1" applyAlignment="1" applyProtection="1">
      <alignment horizontal="left" vertical="center" indent="1"/>
      <protection locked="0"/>
    </xf>
    <xf numFmtId="0" fontId="6" fillId="6" borderId="16" xfId="0" applyFont="1" applyFill="1" applyBorder="1" applyAlignment="1" applyProtection="1">
      <protection locked="0"/>
    </xf>
    <xf numFmtId="0" fontId="6" fillId="6" borderId="8" xfId="0" applyFont="1" applyFill="1" applyBorder="1" applyAlignment="1" applyProtection="1">
      <protection locked="0"/>
    </xf>
    <xf numFmtId="0" fontId="6" fillId="6" borderId="9" xfId="0" applyFont="1" applyFill="1" applyBorder="1" applyAlignment="1" applyProtection="1">
      <protection locked="0"/>
    </xf>
    <xf numFmtId="0" fontId="6" fillId="6" borderId="10" xfId="0" applyFont="1" applyFill="1" applyBorder="1" applyAlignment="1" applyProtection="1">
      <protection locked="0"/>
    </xf>
    <xf numFmtId="165" fontId="6" fillId="6" borderId="10" xfId="0" applyNumberFormat="1" applyFont="1" applyFill="1" applyBorder="1" applyAlignment="1" applyProtection="1">
      <alignment horizontal="center" vertical="center"/>
      <protection locked="0"/>
    </xf>
    <xf numFmtId="0" fontId="6" fillId="6" borderId="11" xfId="0" applyFont="1" applyFill="1" applyBorder="1" applyAlignment="1" applyProtection="1">
      <protection locked="0"/>
    </xf>
    <xf numFmtId="0" fontId="6" fillId="4" borderId="12" xfId="0" applyFont="1" applyFill="1" applyBorder="1" applyAlignment="1" applyProtection="1">
      <alignment horizontal="left" vertical="center" indent="1"/>
      <protection locked="0"/>
    </xf>
    <xf numFmtId="0" fontId="6" fillId="4" borderId="24" xfId="0" applyFont="1" applyFill="1" applyBorder="1" applyAlignment="1" applyProtection="1">
      <alignment horizontal="left" vertical="center" indent="1"/>
      <protection locked="0"/>
    </xf>
    <xf numFmtId="0" fontId="6" fillId="6" borderId="7" xfId="0" applyFont="1" applyFill="1" applyBorder="1" applyAlignment="1" applyProtection="1"/>
    <xf numFmtId="166" fontId="6" fillId="6" borderId="7" xfId="0" applyNumberFormat="1" applyFont="1" applyFill="1" applyBorder="1" applyAlignment="1" applyProtection="1">
      <alignment horizontal="center" vertical="center"/>
    </xf>
    <xf numFmtId="165" fontId="6" fillId="6" borderId="7" xfId="0" applyNumberFormat="1" applyFont="1" applyFill="1" applyBorder="1" applyAlignment="1" applyProtection="1">
      <alignment horizontal="center" vertical="center"/>
    </xf>
    <xf numFmtId="0" fontId="6" fillId="6" borderId="7" xfId="0" applyFont="1" applyFill="1" applyBorder="1" applyAlignment="1" applyProtection="1">
      <alignment horizontal="center" vertical="center"/>
    </xf>
    <xf numFmtId="8" fontId="10" fillId="3" borderId="17" xfId="0" applyNumberFormat="1" applyFont="1" applyFill="1" applyBorder="1" applyAlignment="1" applyProtection="1">
      <alignment horizontal="center" vertical="center"/>
    </xf>
    <xf numFmtId="3" fontId="6" fillId="5" borderId="20" xfId="0" applyNumberFormat="1" applyFont="1" applyFill="1" applyBorder="1" applyAlignment="1" applyProtection="1">
      <alignment horizontal="center" vertical="center"/>
      <protection locked="0"/>
    </xf>
    <xf numFmtId="10" fontId="6" fillId="5" borderId="20" xfId="0" applyNumberFormat="1" applyFont="1" applyFill="1" applyBorder="1" applyAlignment="1" applyProtection="1">
      <alignment horizontal="center" vertical="center"/>
      <protection locked="0"/>
    </xf>
    <xf numFmtId="8" fontId="10" fillId="3" borderId="20" xfId="0" applyNumberFormat="1" applyFont="1" applyFill="1" applyBorder="1" applyAlignment="1" applyProtection="1">
      <alignment horizontal="center" vertical="center"/>
    </xf>
    <xf numFmtId="166" fontId="6" fillId="6" borderId="1" xfId="0" applyNumberFormat="1" applyFont="1" applyFill="1" applyBorder="1" applyAlignment="1" applyProtection="1">
      <alignment horizontal="center" vertical="center"/>
    </xf>
    <xf numFmtId="10" fontId="8" fillId="3" borderId="17" xfId="1" applyNumberFormat="1" applyFont="1" applyFill="1" applyBorder="1" applyAlignment="1" applyProtection="1">
      <alignment horizontal="center" vertical="center"/>
    </xf>
    <xf numFmtId="10" fontId="6" fillId="5" borderId="20" xfId="1" applyNumberFormat="1" applyFont="1" applyFill="1" applyBorder="1" applyAlignment="1" applyProtection="1">
      <alignment horizontal="center" vertical="center"/>
      <protection locked="0"/>
    </xf>
    <xf numFmtId="0" fontId="6" fillId="7" borderId="21" xfId="0" applyFont="1" applyFill="1" applyBorder="1" applyAlignment="1" applyProtection="1">
      <protection locked="0"/>
    </xf>
    <xf numFmtId="0" fontId="6" fillId="7" borderId="22" xfId="0" applyFont="1" applyFill="1" applyBorder="1" applyAlignment="1" applyProtection="1">
      <protection locked="0"/>
    </xf>
    <xf numFmtId="164" fontId="6" fillId="7" borderId="22" xfId="0" applyNumberFormat="1" applyFont="1" applyFill="1" applyBorder="1" applyAlignment="1" applyProtection="1">
      <protection locked="0"/>
    </xf>
    <xf numFmtId="0" fontId="6" fillId="6" borderId="20" xfId="0" applyFont="1" applyFill="1" applyBorder="1" applyAlignment="1" applyProtection="1">
      <protection locked="0"/>
    </xf>
    <xf numFmtId="0" fontId="6" fillId="7" borderId="23" xfId="0" applyFont="1" applyFill="1" applyBorder="1" applyAlignment="1" applyProtection="1">
      <protection locked="0"/>
    </xf>
    <xf numFmtId="0" fontId="6" fillId="7" borderId="0" xfId="0" applyFont="1" applyFill="1" applyAlignment="1" applyProtection="1">
      <protection locked="0"/>
    </xf>
    <xf numFmtId="0" fontId="6" fillId="7" borderId="1" xfId="0" applyFont="1" applyFill="1" applyBorder="1" applyAlignment="1" applyProtection="1">
      <protection locked="0"/>
    </xf>
    <xf numFmtId="165" fontId="6" fillId="7" borderId="1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protection locked="0"/>
    </xf>
    <xf numFmtId="0" fontId="6" fillId="7" borderId="3" xfId="0" applyFont="1" applyFill="1" applyBorder="1" applyAlignment="1" applyProtection="1">
      <protection locked="0"/>
    </xf>
    <xf numFmtId="0" fontId="6" fillId="7" borderId="13" xfId="0" applyFont="1" applyFill="1" applyBorder="1" applyAlignment="1" applyProtection="1">
      <protection locked="0"/>
    </xf>
    <xf numFmtId="165" fontId="6" fillId="7" borderId="3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ont="1" applyFill="1" applyAlignment="1" applyProtection="1">
      <protection locked="0"/>
    </xf>
    <xf numFmtId="0" fontId="0" fillId="6" borderId="8" xfId="0" applyFont="1" applyFill="1" applyBorder="1" applyAlignment="1" applyProtection="1">
      <protection locked="0"/>
    </xf>
    <xf numFmtId="0" fontId="0" fillId="6" borderId="7" xfId="0" applyFont="1" applyFill="1" applyBorder="1" applyAlignment="1" applyProtection="1">
      <protection locked="0"/>
    </xf>
    <xf numFmtId="8" fontId="0" fillId="6" borderId="0" xfId="0" applyNumberFormat="1" applyFont="1" applyFill="1" applyAlignment="1" applyProtection="1">
      <protection locked="0"/>
    </xf>
    <xf numFmtId="0" fontId="0" fillId="6" borderId="29" xfId="0" applyFont="1" applyFill="1" applyBorder="1" applyAlignment="1" applyProtection="1">
      <alignment wrapText="1"/>
      <protection locked="0"/>
    </xf>
    <xf numFmtId="0" fontId="0" fillId="6" borderId="30" xfId="0" applyFont="1" applyFill="1" applyBorder="1" applyProtection="1">
      <protection locked="0"/>
    </xf>
    <xf numFmtId="0" fontId="0" fillId="6" borderId="30" xfId="0" applyFont="1" applyFill="1" applyBorder="1" applyAlignment="1" applyProtection="1">
      <alignment wrapText="1"/>
      <protection locked="0"/>
    </xf>
    <xf numFmtId="0" fontId="3" fillId="8" borderId="16" xfId="0" applyFont="1" applyFill="1" applyBorder="1" applyAlignment="1" applyProtection="1">
      <alignment horizontal="center" vertical="center" wrapText="1"/>
    </xf>
    <xf numFmtId="8" fontId="3" fillId="7" borderId="12" xfId="0" applyNumberFormat="1" applyFont="1" applyFill="1" applyBorder="1" applyAlignment="1" applyProtection="1">
      <alignment horizontal="center" vertical="center"/>
    </xf>
    <xf numFmtId="8" fontId="3" fillId="7" borderId="17" xfId="0" applyNumberFormat="1" applyFont="1" applyFill="1" applyBorder="1" applyAlignment="1" applyProtection="1">
      <alignment horizontal="center" vertical="center"/>
    </xf>
    <xf numFmtId="0" fontId="3" fillId="8" borderId="18" xfId="0" applyFont="1" applyFill="1" applyBorder="1" applyAlignment="1" applyProtection="1">
      <alignment horizontal="center" vertical="center" wrapText="1"/>
    </xf>
    <xf numFmtId="8" fontId="3" fillId="7" borderId="28" xfId="0" applyNumberFormat="1" applyFont="1" applyFill="1" applyBorder="1" applyAlignment="1" applyProtection="1">
      <alignment horizontal="center" vertical="center"/>
    </xf>
    <xf numFmtId="8" fontId="3" fillId="7" borderId="19" xfId="0" applyNumberFormat="1" applyFont="1" applyFill="1" applyBorder="1" applyAlignment="1" applyProtection="1">
      <alignment horizontal="center" vertical="center"/>
    </xf>
    <xf numFmtId="0" fontId="1" fillId="9" borderId="14" xfId="0" applyFont="1" applyFill="1" applyBorder="1" applyAlignment="1" applyProtection="1">
      <alignment wrapText="1"/>
    </xf>
    <xf numFmtId="0" fontId="2" fillId="10" borderId="27" xfId="0" applyFont="1" applyFill="1" applyBorder="1" applyProtection="1"/>
    <xf numFmtId="0" fontId="2" fillId="10" borderId="27" xfId="0" applyFont="1" applyFill="1" applyBorder="1" applyAlignment="1" applyProtection="1">
      <alignment wrapText="1"/>
    </xf>
    <xf numFmtId="0" fontId="2" fillId="10" borderId="15" xfId="0" applyFont="1" applyFill="1" applyBorder="1" applyAlignment="1" applyProtection="1">
      <alignment wrapText="1"/>
    </xf>
    <xf numFmtId="0" fontId="1" fillId="9" borderId="4" xfId="0" applyFont="1" applyFill="1" applyBorder="1" applyAlignment="1" applyProtection="1">
      <alignment wrapText="1"/>
    </xf>
    <xf numFmtId="0" fontId="2" fillId="10" borderId="5" xfId="0" applyFont="1" applyFill="1" applyBorder="1" applyProtection="1"/>
    <xf numFmtId="0" fontId="1" fillId="9" borderId="31" xfId="0" applyFont="1" applyFill="1" applyBorder="1" applyAlignment="1" applyProtection="1">
      <alignment wrapText="1"/>
    </xf>
    <xf numFmtId="0" fontId="2" fillId="10" borderId="6" xfId="0" applyFont="1" applyFill="1" applyBorder="1" applyProtection="1"/>
    <xf numFmtId="0" fontId="0" fillId="6" borderId="0" xfId="0" applyFont="1" applyFill="1" applyAlignment="1" applyProtection="1">
      <alignment horizontal="center" vertical="center"/>
      <protection locked="0"/>
    </xf>
    <xf numFmtId="0" fontId="0" fillId="5" borderId="6" xfId="0" applyFont="1" applyFill="1" applyBorder="1" applyAlignment="1" applyProtection="1">
      <alignment horizontal="center" vertical="center"/>
      <protection locked="0"/>
    </xf>
    <xf numFmtId="0" fontId="0" fillId="5" borderId="8" xfId="0" applyFont="1" applyFill="1" applyBorder="1" applyAlignment="1" applyProtection="1">
      <alignment horizontal="center" vertical="center"/>
      <protection locked="0"/>
    </xf>
    <xf numFmtId="0" fontId="7" fillId="11" borderId="8" xfId="0" applyNumberFormat="1" applyFont="1" applyFill="1" applyBorder="1" applyAlignment="1" applyProtection="1">
      <alignment horizontal="center" vertical="center"/>
    </xf>
    <xf numFmtId="10" fontId="0" fillId="5" borderId="8" xfId="1" applyNumberFormat="1" applyFont="1" applyFill="1" applyBorder="1" applyAlignment="1" applyProtection="1">
      <alignment horizontal="center" vertical="center"/>
      <protection locked="0"/>
    </xf>
    <xf numFmtId="10" fontId="0" fillId="5" borderId="8" xfId="0" applyNumberFormat="1" applyFont="1" applyFill="1" applyBorder="1" applyAlignment="1" applyProtection="1">
      <alignment horizontal="center" vertical="center"/>
      <protection locked="0"/>
    </xf>
    <xf numFmtId="0" fontId="2" fillId="10" borderId="27" xfId="0" applyFont="1" applyFill="1" applyBorder="1" applyAlignment="1" applyProtection="1">
      <alignment horizontal="center" vertical="center"/>
    </xf>
    <xf numFmtId="0" fontId="0" fillId="6" borderId="30" xfId="0" applyFont="1" applyFill="1" applyBorder="1" applyAlignment="1" applyProtection="1">
      <alignment horizontal="center" vertical="center"/>
      <protection locked="0"/>
    </xf>
    <xf numFmtId="0" fontId="2" fillId="10" borderId="5" xfId="0" applyFont="1" applyFill="1" applyBorder="1" applyAlignment="1" applyProtection="1">
      <alignment horizontal="center" vertical="center"/>
    </xf>
    <xf numFmtId="0" fontId="1" fillId="9" borderId="14" xfId="0" applyFont="1" applyFill="1" applyBorder="1" applyAlignment="1" applyProtection="1">
      <alignment horizontal="center" vertical="center" wrapText="1"/>
    </xf>
    <xf numFmtId="0" fontId="3" fillId="8" borderId="32" xfId="0" applyFont="1" applyFill="1" applyBorder="1" applyAlignment="1" applyProtection="1">
      <alignment horizontal="center" vertical="center" wrapText="1"/>
    </xf>
    <xf numFmtId="0" fontId="3" fillId="8" borderId="33" xfId="0" applyFont="1" applyFill="1" applyBorder="1" applyAlignment="1" applyProtection="1">
      <alignment horizontal="center" vertical="center" wrapText="1"/>
    </xf>
    <xf numFmtId="0" fontId="2" fillId="10" borderId="34" xfId="0" applyFont="1" applyFill="1" applyBorder="1" applyAlignment="1" applyProtection="1">
      <alignment horizontal="center" vertical="center"/>
    </xf>
    <xf numFmtId="0" fontId="7" fillId="10" borderId="34" xfId="0" applyFont="1" applyFill="1" applyBorder="1" applyAlignment="1" applyProtection="1">
      <alignment horizontal="center" vertical="center"/>
    </xf>
    <xf numFmtId="0" fontId="7" fillId="10" borderId="15" xfId="0" applyFont="1" applyFill="1" applyBorder="1" applyAlignment="1" applyProtection="1">
      <alignment horizontal="center" vertical="center"/>
    </xf>
    <xf numFmtId="8" fontId="3" fillId="7" borderId="35" xfId="0" applyNumberFormat="1" applyFont="1" applyFill="1" applyBorder="1" applyAlignment="1" applyProtection="1">
      <alignment horizontal="center" vertical="center" wrapText="1"/>
    </xf>
    <xf numFmtId="0" fontId="3" fillId="8" borderId="36" xfId="0" applyFont="1" applyFill="1" applyBorder="1" applyAlignment="1" applyProtection="1">
      <alignment horizontal="center" vertical="center" wrapText="1"/>
    </xf>
    <xf numFmtId="0" fontId="3" fillId="8" borderId="37" xfId="0" applyFont="1" applyFill="1" applyBorder="1" applyAlignment="1" applyProtection="1">
      <alignment horizontal="center" vertical="center" wrapText="1"/>
    </xf>
    <xf numFmtId="8" fontId="3" fillId="7" borderId="38" xfId="0" applyNumberFormat="1" applyFont="1" applyFill="1" applyBorder="1" applyAlignment="1" applyProtection="1">
      <alignment horizontal="center" vertical="center" wrapText="1"/>
    </xf>
    <xf numFmtId="0" fontId="2" fillId="10" borderId="15" xfId="0" applyFont="1" applyFill="1" applyBorder="1" applyAlignment="1" applyProtection="1">
      <alignment horizontal="center" vertical="center"/>
    </xf>
    <xf numFmtId="0" fontId="9" fillId="8" borderId="32" xfId="0" applyFont="1" applyFill="1" applyBorder="1" applyAlignment="1" applyProtection="1">
      <alignment horizontal="center" vertical="center" wrapText="1"/>
    </xf>
    <xf numFmtId="0" fontId="9" fillId="8" borderId="33" xfId="0" applyFont="1" applyFill="1" applyBorder="1" applyAlignment="1" applyProtection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/>
    </xf>
    <xf numFmtId="167" fontId="0" fillId="6" borderId="0" xfId="0" applyNumberFormat="1" applyFont="1" applyFill="1" applyAlignment="1" applyProtection="1">
      <alignment horizontal="center" vertical="center"/>
    </xf>
    <xf numFmtId="0" fontId="6" fillId="4" borderId="18" xfId="0" applyFont="1" applyFill="1" applyBorder="1" applyAlignment="1" applyProtection="1">
      <alignment horizontal="left" vertical="center" indent="1"/>
      <protection locked="0"/>
    </xf>
    <xf numFmtId="8" fontId="10" fillId="3" borderId="19" xfId="0" applyNumberFormat="1" applyFont="1" applyFill="1" applyBorder="1" applyAlignment="1" applyProtection="1">
      <alignment horizontal="center" vertical="center"/>
    </xf>
    <xf numFmtId="8" fontId="0" fillId="6" borderId="30" xfId="0" applyNumberFormat="1" applyFont="1" applyFill="1" applyBorder="1" applyAlignment="1" applyProtection="1">
      <alignment wrapText="1"/>
      <protection locked="0"/>
    </xf>
    <xf numFmtId="8" fontId="0" fillId="6" borderId="30" xfId="0" applyNumberFormat="1" applyFont="1" applyFill="1" applyBorder="1" applyProtection="1">
      <protection locked="0"/>
    </xf>
    <xf numFmtId="8" fontId="10" fillId="5" borderId="17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/>
    <xf numFmtId="0" fontId="8" fillId="2" borderId="25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14"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  <dxf>
      <fill>
        <patternFill patternType="solid">
          <fgColor rgb="FFAEABAB"/>
          <bgColor rgb="FFAEAB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B4897-A3CF-4F08-ADCE-BF18B1EA8F22}">
  <dimension ref="A1:I42"/>
  <sheetViews>
    <sheetView tabSelected="1" topLeftCell="B1" zoomScale="110" zoomScaleNormal="110" workbookViewId="0">
      <selection activeCell="B17" sqref="B17:C17"/>
    </sheetView>
  </sheetViews>
  <sheetFormatPr defaultRowHeight="14.4" x14ac:dyDescent="0.3"/>
  <cols>
    <col min="1" max="1" width="18.109375" style="10" bestFit="1" customWidth="1"/>
    <col min="2" max="2" width="46.5546875" style="10" bestFit="1" customWidth="1"/>
    <col min="3" max="3" width="31.6640625" style="11" bestFit="1" customWidth="1"/>
    <col min="4" max="4" width="1.77734375" style="40" customWidth="1"/>
    <col min="5" max="5" width="12.44140625" style="17" bestFit="1" customWidth="1"/>
    <col min="6" max="6" width="43.6640625" style="10" bestFit="1" customWidth="1"/>
    <col min="7" max="7" width="21.5546875" style="10" customWidth="1"/>
    <col min="8" max="8" width="13.5546875" style="10" bestFit="1" customWidth="1"/>
    <col min="9" max="9" width="20.5546875" style="10" customWidth="1"/>
    <col min="10" max="12" width="8.88671875" style="10"/>
    <col min="13" max="13" width="13.77734375" style="10" bestFit="1" customWidth="1"/>
    <col min="14" max="14" width="10.33203125" style="10" bestFit="1" customWidth="1"/>
    <col min="15" max="16384" width="8.88671875" style="10"/>
  </cols>
  <sheetData>
    <row r="1" spans="1:9" ht="15" thickBot="1" x14ac:dyDescent="0.35">
      <c r="D1" s="39"/>
    </row>
    <row r="2" spans="1:9" ht="15" thickBot="1" x14ac:dyDescent="0.35">
      <c r="A2" s="12"/>
      <c r="B2" s="13"/>
      <c r="C2" s="13"/>
      <c r="D2" s="39"/>
      <c r="E2" s="14"/>
      <c r="F2" s="13"/>
      <c r="G2" s="15"/>
    </row>
    <row r="3" spans="1:9" x14ac:dyDescent="0.3">
      <c r="A3" s="16"/>
      <c r="B3" s="102" t="s">
        <v>63</v>
      </c>
      <c r="C3" s="103"/>
      <c r="F3" s="102" t="s">
        <v>66</v>
      </c>
      <c r="G3" s="103"/>
    </row>
    <row r="4" spans="1:9" x14ac:dyDescent="0.3">
      <c r="A4" s="29">
        <f ca="1">TODAY()-C5*365</f>
        <v>30865</v>
      </c>
      <c r="B4" s="18" t="s">
        <v>62</v>
      </c>
      <c r="C4" s="7">
        <v>10000</v>
      </c>
      <c r="E4" s="36">
        <f ca="1">TODAY()</f>
        <v>43640</v>
      </c>
      <c r="F4" s="18" t="s">
        <v>59</v>
      </c>
      <c r="G4" s="1">
        <v>2500000</v>
      </c>
    </row>
    <row r="5" spans="1:9" x14ac:dyDescent="0.3">
      <c r="A5" s="30"/>
      <c r="B5" s="18" t="s">
        <v>95</v>
      </c>
      <c r="C5" s="5">
        <v>35</v>
      </c>
      <c r="D5" s="41"/>
      <c r="E5" s="36"/>
      <c r="F5" s="18" t="s">
        <v>61</v>
      </c>
      <c r="G5" s="2">
        <v>20</v>
      </c>
    </row>
    <row r="6" spans="1:9" x14ac:dyDescent="0.3">
      <c r="A6" s="31"/>
      <c r="B6" s="18" t="s">
        <v>92</v>
      </c>
      <c r="C6" s="34">
        <v>0.08</v>
      </c>
      <c r="E6" s="36"/>
      <c r="F6" s="18" t="s">
        <v>47</v>
      </c>
      <c r="G6" s="3">
        <v>7.0000000000000007E-2</v>
      </c>
    </row>
    <row r="7" spans="1:9" x14ac:dyDescent="0.3">
      <c r="A7" s="29">
        <f ca="1">TODAY()</f>
        <v>43640</v>
      </c>
      <c r="B7" s="19" t="s">
        <v>93</v>
      </c>
      <c r="C7" s="35">
        <f>FV(C6,C5,,-C4,1)</f>
        <v>147853.44294320559</v>
      </c>
      <c r="E7" s="36">
        <f ca="1">TODAY()+G5*365</f>
        <v>50940</v>
      </c>
      <c r="F7" s="19" t="s">
        <v>67</v>
      </c>
      <c r="G7" s="32">
        <f>FV(G6,G5,,-G4,1)</f>
        <v>9674211.1562154479</v>
      </c>
    </row>
    <row r="8" spans="1:9" ht="15" thickBot="1" x14ac:dyDescent="0.35">
      <c r="A8" s="28"/>
      <c r="B8" s="20"/>
      <c r="C8" s="42"/>
      <c r="E8" s="36"/>
      <c r="F8" s="16"/>
      <c r="G8" s="21"/>
    </row>
    <row r="9" spans="1:9" x14ac:dyDescent="0.3">
      <c r="A9" s="28"/>
      <c r="B9" s="102" t="s">
        <v>64</v>
      </c>
      <c r="C9" s="103"/>
      <c r="E9" s="36"/>
      <c r="F9" s="102" t="s">
        <v>68</v>
      </c>
      <c r="G9" s="103"/>
    </row>
    <row r="10" spans="1:9" x14ac:dyDescent="0.3">
      <c r="A10" s="29">
        <f ca="1">TODAY()</f>
        <v>43640</v>
      </c>
      <c r="B10" s="18" t="s">
        <v>94</v>
      </c>
      <c r="C10" s="33">
        <v>50000</v>
      </c>
      <c r="E10" s="36">
        <f ca="1">TODAY()+G11*365</f>
        <v>50940</v>
      </c>
      <c r="F10" s="18" t="s">
        <v>60</v>
      </c>
      <c r="G10" s="1">
        <v>10000000</v>
      </c>
    </row>
    <row r="11" spans="1:9" x14ac:dyDescent="0.3">
      <c r="A11" s="30"/>
      <c r="B11" s="18" t="s">
        <v>95</v>
      </c>
      <c r="C11" s="5">
        <v>20</v>
      </c>
      <c r="D11" s="41"/>
      <c r="E11" s="36"/>
      <c r="F11" s="18" t="s">
        <v>61</v>
      </c>
      <c r="G11" s="2">
        <v>20</v>
      </c>
    </row>
    <row r="12" spans="1:9" x14ac:dyDescent="0.3">
      <c r="A12" s="30"/>
      <c r="B12" s="18" t="s">
        <v>47</v>
      </c>
      <c r="C12" s="34">
        <v>0.08</v>
      </c>
      <c r="E12" s="36"/>
      <c r="F12" s="18" t="s">
        <v>47</v>
      </c>
      <c r="G12" s="3">
        <v>7.0000000000000007E-2</v>
      </c>
    </row>
    <row r="13" spans="1:9" x14ac:dyDescent="0.3">
      <c r="A13" s="29">
        <f ca="1">TODAY()-C11*365</f>
        <v>36340</v>
      </c>
      <c r="B13" s="19" t="s">
        <v>65</v>
      </c>
      <c r="C13" s="35">
        <f>PV(C12,C11,,-C10,1)</f>
        <v>10727.410370202828</v>
      </c>
      <c r="E13" s="36">
        <f ca="1">TODAY()</f>
        <v>43640</v>
      </c>
      <c r="F13" s="19" t="s">
        <v>59</v>
      </c>
      <c r="G13" s="32">
        <f>PV(G12,G11,,-G10,1)</f>
        <v>2584190.0281386869</v>
      </c>
    </row>
    <row r="14" spans="1:9" ht="15" thickBot="1" x14ac:dyDescent="0.35">
      <c r="A14" s="22"/>
      <c r="B14" s="23"/>
      <c r="C14" s="23"/>
      <c r="D14" s="43"/>
      <c r="E14" s="24"/>
      <c r="F14" s="23"/>
      <c r="G14" s="25"/>
    </row>
    <row r="15" spans="1:9" s="44" customFormat="1" ht="8.4" customHeight="1" thickBot="1" x14ac:dyDescent="0.35">
      <c r="C15" s="45"/>
      <c r="D15" s="40"/>
      <c r="E15" s="46"/>
    </row>
    <row r="16" spans="1:9" ht="15" thickBot="1" x14ac:dyDescent="0.35">
      <c r="A16" s="12"/>
      <c r="B16" s="13"/>
      <c r="C16" s="13"/>
      <c r="D16" s="39"/>
      <c r="E16" s="14"/>
      <c r="F16" s="13"/>
      <c r="G16" s="13"/>
      <c r="H16" s="13"/>
      <c r="I16" s="15"/>
    </row>
    <row r="17" spans="1:9" x14ac:dyDescent="0.3">
      <c r="A17" s="16"/>
      <c r="B17" s="102" t="s">
        <v>69</v>
      </c>
      <c r="C17" s="103"/>
      <c r="F17" s="102" t="s">
        <v>71</v>
      </c>
      <c r="G17" s="103"/>
      <c r="H17" s="11"/>
      <c r="I17" s="21"/>
    </row>
    <row r="18" spans="1:9" x14ac:dyDescent="0.3">
      <c r="A18" s="16"/>
      <c r="B18" s="26" t="s">
        <v>96</v>
      </c>
      <c r="C18" s="4">
        <v>4000000</v>
      </c>
      <c r="F18" s="18" t="s">
        <v>72</v>
      </c>
      <c r="G18" s="7">
        <v>50000</v>
      </c>
      <c r="H18" s="11" t="s">
        <v>74</v>
      </c>
      <c r="I18" s="21"/>
    </row>
    <row r="19" spans="1:9" x14ac:dyDescent="0.3">
      <c r="A19" s="16"/>
      <c r="B19" s="26" t="s">
        <v>61</v>
      </c>
      <c r="C19" s="5">
        <v>10</v>
      </c>
      <c r="F19" s="18" t="s">
        <v>73</v>
      </c>
      <c r="G19" s="2">
        <v>30</v>
      </c>
      <c r="H19" s="11" t="s">
        <v>75</v>
      </c>
      <c r="I19" s="21"/>
    </row>
    <row r="20" spans="1:9" x14ac:dyDescent="0.3">
      <c r="A20" s="16"/>
      <c r="B20" s="26" t="s">
        <v>43</v>
      </c>
      <c r="C20" s="6">
        <v>0.05</v>
      </c>
      <c r="F20" s="18" t="s">
        <v>43</v>
      </c>
      <c r="G20" s="8">
        <v>7.0000000000000007E-2</v>
      </c>
    </row>
    <row r="21" spans="1:9" x14ac:dyDescent="0.3">
      <c r="A21" s="16"/>
      <c r="B21" s="26" t="s">
        <v>70</v>
      </c>
      <c r="C21" s="35">
        <f>FV(C20,C19,,-C18,1)</f>
        <v>6515578.5071097659</v>
      </c>
      <c r="F21" s="18" t="s">
        <v>97</v>
      </c>
      <c r="G21" s="32">
        <f>FV(G20/12,G19*12,,-G18,0)</f>
        <v>405824.87376798311</v>
      </c>
      <c r="H21" s="11"/>
      <c r="I21" s="21"/>
    </row>
    <row r="22" spans="1:9" x14ac:dyDescent="0.3">
      <c r="A22" s="16"/>
      <c r="B22" s="26" t="s">
        <v>77</v>
      </c>
      <c r="C22" s="6">
        <v>0.12</v>
      </c>
      <c r="F22" s="18" t="s">
        <v>78</v>
      </c>
      <c r="G22" s="2">
        <v>15</v>
      </c>
      <c r="H22" s="11" t="s">
        <v>76</v>
      </c>
      <c r="I22" s="21"/>
    </row>
    <row r="23" spans="1:9" x14ac:dyDescent="0.3">
      <c r="A23" s="16"/>
      <c r="B23" s="19" t="s">
        <v>86</v>
      </c>
      <c r="C23" s="35">
        <f>PMT(C22/12,C19*12,,-C21,1)</f>
        <v>28043.403672829299</v>
      </c>
      <c r="F23" s="18" t="s">
        <v>80</v>
      </c>
      <c r="G23" s="8">
        <v>0.08</v>
      </c>
      <c r="H23" s="11"/>
      <c r="I23" s="21"/>
    </row>
    <row r="24" spans="1:9" x14ac:dyDescent="0.3">
      <c r="A24" s="16"/>
      <c r="B24" s="11"/>
      <c r="F24" s="18" t="s">
        <v>79</v>
      </c>
      <c r="G24" s="32">
        <f>PV((1+G23)/(1+G20)-1,G22,-G21*12,,1)</f>
        <v>68498652.13767688</v>
      </c>
      <c r="H24" s="11"/>
      <c r="I24" s="21"/>
    </row>
    <row r="25" spans="1:9" x14ac:dyDescent="0.3">
      <c r="A25" s="16"/>
      <c r="B25" s="11"/>
      <c r="F25" s="19" t="s">
        <v>86</v>
      </c>
      <c r="G25" s="32">
        <f>PMT(G23/12,G19*12,,-G24,1)</f>
        <v>45656.783496650736</v>
      </c>
      <c r="H25" s="11"/>
      <c r="I25" s="21"/>
    </row>
    <row r="26" spans="1:9" s="11" customFormat="1" ht="15" thickBot="1" x14ac:dyDescent="0.35">
      <c r="A26" s="16"/>
      <c r="D26" s="40"/>
      <c r="E26" s="17"/>
      <c r="I26" s="21"/>
    </row>
    <row r="27" spans="1:9" s="48" customFormat="1" ht="8.4" customHeight="1" thickBot="1" x14ac:dyDescent="0.35">
      <c r="A27" s="47"/>
      <c r="D27" s="49"/>
      <c r="E27" s="50"/>
    </row>
    <row r="28" spans="1:9" ht="15" thickBot="1" x14ac:dyDescent="0.35">
      <c r="A28" s="16"/>
      <c r="B28" s="11"/>
      <c r="F28" s="11"/>
      <c r="G28" s="21"/>
    </row>
    <row r="29" spans="1:9" x14ac:dyDescent="0.3">
      <c r="A29" s="16"/>
      <c r="B29" s="102" t="s">
        <v>81</v>
      </c>
      <c r="C29" s="103"/>
      <c r="F29" s="102" t="s">
        <v>83</v>
      </c>
      <c r="G29" s="103"/>
    </row>
    <row r="30" spans="1:9" x14ac:dyDescent="0.3">
      <c r="A30" s="16"/>
      <c r="B30" s="26" t="s">
        <v>58</v>
      </c>
      <c r="C30" s="4">
        <v>15000</v>
      </c>
      <c r="F30" s="18" t="s">
        <v>84</v>
      </c>
      <c r="G30" s="7">
        <v>100000</v>
      </c>
    </row>
    <row r="31" spans="1:9" x14ac:dyDescent="0.3">
      <c r="A31" s="16"/>
      <c r="B31" s="26" t="s">
        <v>61</v>
      </c>
      <c r="C31" s="5">
        <v>10</v>
      </c>
      <c r="F31" s="27" t="s">
        <v>85</v>
      </c>
      <c r="G31" s="9">
        <v>10</v>
      </c>
    </row>
    <row r="32" spans="1:9" x14ac:dyDescent="0.3">
      <c r="A32" s="16"/>
      <c r="B32" s="26" t="s">
        <v>77</v>
      </c>
      <c r="C32" s="6">
        <v>0.12</v>
      </c>
      <c r="F32" s="18" t="s">
        <v>87</v>
      </c>
      <c r="G32" s="7">
        <v>500000</v>
      </c>
    </row>
    <row r="33" spans="1:7" x14ac:dyDescent="0.3">
      <c r="A33" s="16"/>
      <c r="B33" s="19" t="s">
        <v>82</v>
      </c>
      <c r="C33" s="32">
        <f>FV(C32/12,C31*12,C30,,1)*-1</f>
        <v>3485086.1452791099</v>
      </c>
      <c r="F33" s="19" t="s">
        <v>91</v>
      </c>
      <c r="G33" s="37">
        <f>_xlfn.RRI(G31,G30,G32)</f>
        <v>0.17461894308801895</v>
      </c>
    </row>
    <row r="34" spans="1:7" x14ac:dyDescent="0.3">
      <c r="A34" s="16"/>
      <c r="B34" s="11"/>
      <c r="F34" s="11"/>
      <c r="G34" s="21"/>
    </row>
    <row r="35" spans="1:7" ht="15" thickBot="1" x14ac:dyDescent="0.35">
      <c r="A35" s="22"/>
      <c r="B35" s="23"/>
      <c r="C35" s="23"/>
      <c r="D35" s="43"/>
      <c r="E35" s="24"/>
      <c r="F35" s="23"/>
      <c r="G35" s="25"/>
    </row>
    <row r="36" spans="1:7" ht="15" thickBot="1" x14ac:dyDescent="0.35">
      <c r="E36" s="11"/>
    </row>
    <row r="37" spans="1:7" x14ac:dyDescent="0.3">
      <c r="B37" s="102" t="s">
        <v>88</v>
      </c>
      <c r="C37" s="103"/>
      <c r="E37" s="11"/>
    </row>
    <row r="38" spans="1:7" x14ac:dyDescent="0.3">
      <c r="B38" s="18" t="s">
        <v>84</v>
      </c>
      <c r="C38" s="7">
        <v>1000</v>
      </c>
    </row>
    <row r="39" spans="1:7" x14ac:dyDescent="0.3">
      <c r="B39" s="18" t="s">
        <v>85</v>
      </c>
      <c r="C39" s="9">
        <v>30</v>
      </c>
    </row>
    <row r="40" spans="1:7" x14ac:dyDescent="0.3">
      <c r="B40" s="27" t="s">
        <v>90</v>
      </c>
      <c r="C40" s="38">
        <v>0.17</v>
      </c>
    </row>
    <row r="41" spans="1:7" x14ac:dyDescent="0.3">
      <c r="B41" s="18" t="s">
        <v>87</v>
      </c>
      <c r="C41" s="32">
        <v>30000</v>
      </c>
    </row>
    <row r="42" spans="1:7" x14ac:dyDescent="0.3">
      <c r="B42" s="19" t="s">
        <v>89</v>
      </c>
      <c r="C42" s="32" t="str">
        <f>(C41/C38)&amp;" X"</f>
        <v>30 X</v>
      </c>
    </row>
  </sheetData>
  <sheetProtection algorithmName="SHA-512" hashValue="lLGSxyW2MNMgb05AtNrMbPri998kpCMm1Kmx5MtSBvwWsse9K1t/lGLJQby7GbnF+xZfyrdETPiEdjWtWk6IFg==" saltValue="AlwRfWqP0D3L68px9grLTg==" spinCount="100000" sheet="1" selectLockedCells="1"/>
  <mergeCells count="9">
    <mergeCell ref="B29:C29"/>
    <mergeCell ref="F29:G29"/>
    <mergeCell ref="B37:C37"/>
    <mergeCell ref="F3:G3"/>
    <mergeCell ref="B9:C9"/>
    <mergeCell ref="B17:C17"/>
    <mergeCell ref="B3:C3"/>
    <mergeCell ref="F9:G9"/>
    <mergeCell ref="F17:G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7469-B680-4BB0-ACE4-8EB70F611AD7}">
  <dimension ref="A1:M49"/>
  <sheetViews>
    <sheetView zoomScale="120" zoomScaleNormal="120" workbookViewId="0">
      <selection activeCell="B10" sqref="B10"/>
    </sheetView>
  </sheetViews>
  <sheetFormatPr defaultRowHeight="14.4" x14ac:dyDescent="0.3"/>
  <cols>
    <col min="1" max="1" width="52.44140625" style="51" bestFit="1" customWidth="1"/>
    <col min="2" max="2" width="29.88671875" style="72" bestFit="1" customWidth="1"/>
    <col min="3" max="3" width="17.33203125" style="51" bestFit="1" customWidth="1"/>
    <col min="4" max="4" width="23.44140625" style="51" bestFit="1" customWidth="1"/>
    <col min="5" max="5" width="16.109375" style="51" bestFit="1" customWidth="1"/>
    <col min="6" max="6" width="17.33203125" style="51" bestFit="1" customWidth="1"/>
    <col min="7" max="7" width="12.88671875" style="51" bestFit="1" customWidth="1"/>
    <col min="8" max="11" width="8.88671875" style="51"/>
    <col min="12" max="13" width="8.88671875" style="51" customWidth="1"/>
    <col min="14" max="16384" width="8.88671875" style="51"/>
  </cols>
  <sheetData>
    <row r="1" spans="1:13" ht="15" thickBot="1" x14ac:dyDescent="0.35">
      <c r="A1" s="102" t="s">
        <v>100</v>
      </c>
      <c r="B1" s="103"/>
    </row>
    <row r="2" spans="1:13" x14ac:dyDescent="0.3">
      <c r="A2" s="18" t="s">
        <v>44</v>
      </c>
      <c r="B2" s="73">
        <v>30</v>
      </c>
    </row>
    <row r="3" spans="1:13" x14ac:dyDescent="0.3">
      <c r="A3" s="18" t="s">
        <v>99</v>
      </c>
      <c r="B3" s="74">
        <v>55</v>
      </c>
    </row>
    <row r="4" spans="1:13" x14ac:dyDescent="0.3">
      <c r="A4" s="18" t="s">
        <v>101</v>
      </c>
      <c r="B4" s="74">
        <v>75</v>
      </c>
    </row>
    <row r="5" spans="1:13" x14ac:dyDescent="0.3">
      <c r="A5" s="18" t="s">
        <v>52</v>
      </c>
      <c r="B5" s="75">
        <f>B3-B2</f>
        <v>25</v>
      </c>
    </row>
    <row r="6" spans="1:13" x14ac:dyDescent="0.3">
      <c r="A6" s="18" t="s">
        <v>45</v>
      </c>
      <c r="B6" s="75">
        <f>B4-B3</f>
        <v>20</v>
      </c>
    </row>
    <row r="7" spans="1:13" x14ac:dyDescent="0.3">
      <c r="A7" s="18" t="s">
        <v>46</v>
      </c>
      <c r="B7" s="7">
        <v>50000</v>
      </c>
      <c r="C7" s="95">
        <f ca="1">TODAY()</f>
        <v>43640</v>
      </c>
    </row>
    <row r="8" spans="1:13" x14ac:dyDescent="0.3">
      <c r="A8" s="18" t="s">
        <v>47</v>
      </c>
      <c r="B8" s="76">
        <v>0.06</v>
      </c>
    </row>
    <row r="9" spans="1:13" x14ac:dyDescent="0.3">
      <c r="A9" s="18" t="str">
        <f>"Monthy expenses at retirement age @"&amp;B3</f>
        <v>Monthy expenses at retirement age @55</v>
      </c>
      <c r="B9" s="32">
        <f>FV(B8/12,B5*12,,-B7,0)</f>
        <v>223248.49060810509</v>
      </c>
    </row>
    <row r="10" spans="1:13" x14ac:dyDescent="0.3">
      <c r="A10" s="18" t="s">
        <v>53</v>
      </c>
      <c r="B10" s="77">
        <v>0.12</v>
      </c>
    </row>
    <row r="11" spans="1:13" x14ac:dyDescent="0.3">
      <c r="A11" s="18" t="str">
        <f>"You would need corpus @" &amp;B3&amp; "(Goal Amount)"</f>
        <v>You would need corpus @55(Goal Amount)</v>
      </c>
      <c r="B11" s="32">
        <f>PV((1+B10)/(1+B8)-1,B6,-B9*12,,0)</f>
        <v>31593154.7618744</v>
      </c>
      <c r="D11" s="54"/>
    </row>
    <row r="12" spans="1:13" ht="15" thickBot="1" x14ac:dyDescent="0.35">
      <c r="A12" s="96" t="str">
        <f>"You are finanially free if you have @ "&amp;B2</f>
        <v>You are finanially free if you have @ 30</v>
      </c>
      <c r="B12" s="97">
        <f>PV((1+B10)/(1+B8)-1,B4-B2,-B7*12,,0)</f>
        <v>9710268.8780938219</v>
      </c>
    </row>
    <row r="13" spans="1:13" ht="15" thickBot="1" x14ac:dyDescent="0.35"/>
    <row r="14" spans="1:13" ht="18" x14ac:dyDescent="0.35">
      <c r="A14" s="64" t="s">
        <v>56</v>
      </c>
      <c r="B14" s="78" t="s">
        <v>0</v>
      </c>
      <c r="C14" s="66" t="s">
        <v>1</v>
      </c>
      <c r="D14" s="64"/>
      <c r="E14" s="65" t="s">
        <v>0</v>
      </c>
      <c r="F14" s="67" t="s">
        <v>1</v>
      </c>
    </row>
    <row r="15" spans="1:13" ht="15.6" x14ac:dyDescent="0.3">
      <c r="A15" s="58" t="str">
        <f>"@Age " &amp;B2+L15</f>
        <v>@Age 31</v>
      </c>
      <c r="B15" s="59">
        <f>FV(B8/12,L15*12,,-B7,1)</f>
        <v>53083.890593224882</v>
      </c>
      <c r="C15" s="59">
        <f>B15*12</f>
        <v>637006.68711869861</v>
      </c>
      <c r="D15" s="58" t="str">
        <f>"@Age " &amp;B2+M15</f>
        <v>@Age 41</v>
      </c>
      <c r="E15" s="59">
        <f>FV(B8/12,M15*12,,-B7,1)</f>
        <v>96580.657175040236</v>
      </c>
      <c r="F15" s="60">
        <f t="shared" ref="F15:F24" si="0">E15*12</f>
        <v>1158967.8861004829</v>
      </c>
      <c r="L15" s="51">
        <v>1</v>
      </c>
      <c r="M15" s="51">
        <v>11</v>
      </c>
    </row>
    <row r="16" spans="1:13" ht="15.6" x14ac:dyDescent="0.3">
      <c r="A16" s="58" t="str">
        <f>"@Age " &amp;B2+L16</f>
        <v>@Age 32</v>
      </c>
      <c r="B16" s="59">
        <f>FV(B8/12,L16*12,,-B7,1)</f>
        <v>56357.988810269388</v>
      </c>
      <c r="C16" s="59">
        <f t="shared" ref="C16:C24" si="1">B16*12</f>
        <v>676295.86572323262</v>
      </c>
      <c r="D16" s="58" t="str">
        <f>"@Age " &amp;B2+M16</f>
        <v>@Age 42</v>
      </c>
      <c r="E16" s="59">
        <f>FV(B8/12,M16*12,,-B7,1)</f>
        <v>102537.54077803189</v>
      </c>
      <c r="F16" s="60">
        <f t="shared" si="0"/>
        <v>1230450.4893363826</v>
      </c>
      <c r="L16" s="51">
        <v>2</v>
      </c>
      <c r="M16" s="51">
        <v>12</v>
      </c>
    </row>
    <row r="17" spans="1:13" s="54" customFormat="1" ht="15.6" x14ac:dyDescent="0.3">
      <c r="A17" s="58" t="str">
        <f>"@Age " &amp;B2+L17</f>
        <v>@Age 33</v>
      </c>
      <c r="B17" s="59">
        <f>FV(B8/12,L17*12,,-B7,1)</f>
        <v>59834.026241170635</v>
      </c>
      <c r="C17" s="59">
        <f t="shared" si="1"/>
        <v>718008.31489404757</v>
      </c>
      <c r="D17" s="58" t="str">
        <f>"@Age " &amp;B2+M17</f>
        <v>@Age 43</v>
      </c>
      <c r="E17" s="59">
        <f>FV(B8/12,M17*12,,-B7,1)</f>
        <v>108861.83192718761</v>
      </c>
      <c r="F17" s="60">
        <f t="shared" si="0"/>
        <v>1306341.9831262513</v>
      </c>
      <c r="L17" s="51">
        <v>3</v>
      </c>
      <c r="M17" s="51">
        <v>13</v>
      </c>
    </row>
    <row r="18" spans="1:13" ht="15.6" x14ac:dyDescent="0.3">
      <c r="A18" s="58" t="str">
        <f>"@Age " &amp;B2+L18</f>
        <v>@Age 34</v>
      </c>
      <c r="B18" s="59">
        <f>FV(B8/12,L18*12,,-B7,1)</f>
        <v>63524.458054768977</v>
      </c>
      <c r="C18" s="59">
        <f t="shared" si="1"/>
        <v>762293.49665722775</v>
      </c>
      <c r="D18" s="58" t="str">
        <f>"@Age " &amp;B2+M18</f>
        <v>@Age 44</v>
      </c>
      <c r="E18" s="59">
        <f>FV(B8/12,M18*12,,-B7,1)</f>
        <v>115576.19151601725</v>
      </c>
      <c r="F18" s="60">
        <f t="shared" si="0"/>
        <v>1386914.298192207</v>
      </c>
      <c r="L18" s="51">
        <v>4</v>
      </c>
      <c r="M18" s="51">
        <v>14</v>
      </c>
    </row>
    <row r="19" spans="1:13" ht="15.6" x14ac:dyDescent="0.3">
      <c r="A19" s="58" t="str">
        <f>"@Age " &amp;B2+L19</f>
        <v>@Age 35</v>
      </c>
      <c r="B19" s="59">
        <f>FV(B8/12,L19*12,,-B7,1)</f>
        <v>67442.50762746518</v>
      </c>
      <c r="C19" s="59">
        <f t="shared" si="1"/>
        <v>809310.09152958216</v>
      </c>
      <c r="D19" s="58" t="str">
        <f>"@Age " &amp;B2+M19</f>
        <v>@Age 45</v>
      </c>
      <c r="E19" s="59">
        <f>FV(B8/12,M19*12,,-B7,1)</f>
        <v>122704.6781123573</v>
      </c>
      <c r="F19" s="60">
        <f t="shared" si="0"/>
        <v>1472456.1373482877</v>
      </c>
      <c r="L19" s="51">
        <v>5</v>
      </c>
      <c r="M19" s="51">
        <v>15</v>
      </c>
    </row>
    <row r="20" spans="1:13" ht="15.6" x14ac:dyDescent="0.3">
      <c r="A20" s="58" t="str">
        <f>"@Age " &amp;B2+L20</f>
        <v>@Age 36</v>
      </c>
      <c r="B20" s="59">
        <f>FV(B8/12,L20*12,,-B7,1)</f>
        <v>71602.213924581942</v>
      </c>
      <c r="C20" s="59">
        <f t="shared" si="1"/>
        <v>859226.5670949833</v>
      </c>
      <c r="D20" s="58" t="str">
        <f>"@Age " &amp;B2+M20</f>
        <v>@Age 46</v>
      </c>
      <c r="E20" s="59">
        <f>FV(B8/12,M20*12,,-B7,1)</f>
        <v>130272.83416386502</v>
      </c>
      <c r="F20" s="60">
        <f t="shared" si="0"/>
        <v>1563274.0099663802</v>
      </c>
      <c r="L20" s="51">
        <v>6</v>
      </c>
      <c r="M20" s="51">
        <v>16</v>
      </c>
    </row>
    <row r="21" spans="1:13" ht="15.6" x14ac:dyDescent="0.3">
      <c r="A21" s="58" t="str">
        <f>"@Age " &amp;B2+L21</f>
        <v>@Age 37</v>
      </c>
      <c r="B21" s="59">
        <f>FV(B8/12,L21*12,,-B7,1)</f>
        <v>76018.481804103823</v>
      </c>
      <c r="C21" s="59">
        <f t="shared" si="1"/>
        <v>912221.78164924588</v>
      </c>
      <c r="D21" s="58" t="str">
        <f>"@Age " &amp;B2+M21</f>
        <v>@Age 47</v>
      </c>
      <c r="E21" s="59">
        <f>FV(B8/12,M21*12,,-B7,1)</f>
        <v>138307.77752047879</v>
      </c>
      <c r="F21" s="60">
        <f t="shared" si="0"/>
        <v>1659693.3302457454</v>
      </c>
      <c r="L21" s="51">
        <v>7</v>
      </c>
      <c r="M21" s="51">
        <v>17</v>
      </c>
    </row>
    <row r="22" spans="1:13" ht="15.6" x14ac:dyDescent="0.3">
      <c r="A22" s="58" t="str">
        <f>"@Age " &amp;B2+L22</f>
        <v>@Age 38</v>
      </c>
      <c r="B22" s="59">
        <f>FV(B8/12,L22*12,,-B7,1)</f>
        <v>80707.135423042069</v>
      </c>
      <c r="C22" s="59">
        <f t="shared" si="1"/>
        <v>968485.62507650489</v>
      </c>
      <c r="D22" s="58" t="str">
        <f>"@Age " &amp;B2+M22</f>
        <v>@Age 48</v>
      </c>
      <c r="E22" s="59">
        <f>FV(B8/12,M22*12,,-B7,1)</f>
        <v>146838.2986017837</v>
      </c>
      <c r="F22" s="60">
        <f t="shared" si="0"/>
        <v>1762059.5832214043</v>
      </c>
      <c r="L22" s="51">
        <v>8</v>
      </c>
      <c r="M22" s="51">
        <v>18</v>
      </c>
    </row>
    <row r="23" spans="1:13" ht="15.6" x14ac:dyDescent="0.3">
      <c r="A23" s="58" t="str">
        <f>"@Age " &amp;B2+L23</f>
        <v>@Age 39</v>
      </c>
      <c r="B23" s="59">
        <f>FV(B8/12,L23*12,,-B7,1)</f>
        <v>85684.974937786988</v>
      </c>
      <c r="C23" s="59">
        <f t="shared" si="1"/>
        <v>1028219.6992534439</v>
      </c>
      <c r="D23" s="58" t="str">
        <f>"@Age " &amp;B2+M23</f>
        <v>@Age 49</v>
      </c>
      <c r="E23" s="59">
        <f>FV(B8/12,M23*12,,-B7,1)</f>
        <v>155894.96355744739</v>
      </c>
      <c r="F23" s="60">
        <f t="shared" si="0"/>
        <v>1870739.5626893686</v>
      </c>
      <c r="L23" s="51">
        <v>9</v>
      </c>
      <c r="M23" s="51">
        <v>19</v>
      </c>
    </row>
    <row r="24" spans="1:13" ht="16.2" thickBot="1" x14ac:dyDescent="0.35">
      <c r="A24" s="61" t="str">
        <f>"@Age " &amp;B2+L24</f>
        <v>@Age 40</v>
      </c>
      <c r="B24" s="62">
        <f>FV(B8/12,L24*12,,-B7,1)</f>
        <v>90969.836701614011</v>
      </c>
      <c r="C24" s="62">
        <f t="shared" si="1"/>
        <v>1091638.0404193681</v>
      </c>
      <c r="D24" s="61" t="str">
        <f>"@Age " &amp;B2+M24</f>
        <v>@Age 50</v>
      </c>
      <c r="E24" s="62">
        <f>FV(B8/12,M24*12,,-B7,1)</f>
        <v>165510.22379036635</v>
      </c>
      <c r="F24" s="63">
        <f t="shared" si="0"/>
        <v>1986122.6854843963</v>
      </c>
      <c r="G24" s="54"/>
      <c r="L24" s="51">
        <v>10</v>
      </c>
      <c r="M24" s="51">
        <v>20</v>
      </c>
    </row>
    <row r="25" spans="1:13" ht="15" thickBot="1" x14ac:dyDescent="0.35">
      <c r="A25" s="55"/>
      <c r="B25" s="79"/>
      <c r="C25" s="98">
        <f>SUM(C15:C24)</f>
        <v>8462706.1694163345</v>
      </c>
      <c r="D25" s="56"/>
      <c r="E25" s="57"/>
      <c r="F25" s="99">
        <f>SUM(F15:F24)</f>
        <v>15397019.965710906</v>
      </c>
    </row>
    <row r="26" spans="1:13" ht="18" x14ac:dyDescent="0.35">
      <c r="A26" s="68"/>
      <c r="B26" s="80" t="s">
        <v>22</v>
      </c>
      <c r="C26" s="69" t="s">
        <v>1</v>
      </c>
      <c r="D26" s="70"/>
      <c r="E26" s="69" t="s">
        <v>22</v>
      </c>
      <c r="F26" s="71" t="s">
        <v>1</v>
      </c>
    </row>
    <row r="27" spans="1:13" ht="16.2" thickBot="1" x14ac:dyDescent="0.35">
      <c r="A27" s="58" t="str">
        <f>"@Age " &amp;B2+L27</f>
        <v>@Age 51</v>
      </c>
      <c r="B27" s="59">
        <f>FV(B8/12,L27*12,,-B7,1)</f>
        <v>175718.53223495951</v>
      </c>
      <c r="C27" s="59">
        <f t="shared" ref="C27:C36" si="2">B27*12</f>
        <v>2108622.386819514</v>
      </c>
      <c r="D27" s="58" t="str">
        <f>"@Age " &amp;B2+M27</f>
        <v>@Age 61</v>
      </c>
      <c r="E27" s="62">
        <f>FV(B8/12,M27*12,,-B7,1)</f>
        <v>319701.7236572312</v>
      </c>
      <c r="F27" s="60">
        <f t="shared" ref="F27:F36" si="3">E27*12</f>
        <v>3836420.6838867743</v>
      </c>
      <c r="L27" s="51">
        <v>21</v>
      </c>
      <c r="M27" s="51">
        <v>31</v>
      </c>
    </row>
    <row r="28" spans="1:13" ht="16.2" thickBot="1" x14ac:dyDescent="0.35">
      <c r="A28" s="58" t="str">
        <f>"@Age " &amp;B2+L28</f>
        <v>@Age 52</v>
      </c>
      <c r="B28" s="59">
        <f>FV(B8/12,L28*12,,-B7,1)</f>
        <v>186556.46680725299</v>
      </c>
      <c r="C28" s="59">
        <f t="shared" si="2"/>
        <v>2238677.601687036</v>
      </c>
      <c r="D28" s="58" t="str">
        <f>"@Age " &amp;B2+M28</f>
        <v>@Age 62</v>
      </c>
      <c r="E28" s="62">
        <f>FV(B8/12,M28*12,,-B7,1)</f>
        <v>339420.22642171755</v>
      </c>
      <c r="F28" s="60">
        <f t="shared" si="3"/>
        <v>4073042.7170606107</v>
      </c>
      <c r="L28" s="51">
        <v>22</v>
      </c>
      <c r="M28" s="51">
        <v>32</v>
      </c>
    </row>
    <row r="29" spans="1:13" ht="16.2" thickBot="1" x14ac:dyDescent="0.35">
      <c r="A29" s="58" t="str">
        <f>"@Age " &amp;B2+L29</f>
        <v>@Age 53</v>
      </c>
      <c r="B29" s="59">
        <f>FV(B8/12,L29*12,,-B7,1)</f>
        <v>198062.86146909613</v>
      </c>
      <c r="C29" s="59">
        <f t="shared" si="2"/>
        <v>2376754.3376291534</v>
      </c>
      <c r="D29" s="58" t="str">
        <f>"@Age " &amp;B2+M29</f>
        <v>@Age 63</v>
      </c>
      <c r="E29" s="62">
        <f>FV(B8/12,M29*12,,-B7,1)</f>
        <v>360354.92328996141</v>
      </c>
      <c r="F29" s="60">
        <f t="shared" si="3"/>
        <v>4324259.079479537</v>
      </c>
      <c r="L29" s="51">
        <v>23</v>
      </c>
      <c r="M29" s="51">
        <v>33</v>
      </c>
    </row>
    <row r="30" spans="1:13" ht="16.2" thickBot="1" x14ac:dyDescent="0.35">
      <c r="A30" s="58" t="str">
        <f>"@Age " &amp;B2+L30</f>
        <v>@Age 54</v>
      </c>
      <c r="B30" s="59">
        <f>FV(B8/12,L30*12,,-B7,1)</f>
        <v>210278.94537613107</v>
      </c>
      <c r="C30" s="59">
        <f t="shared" si="2"/>
        <v>2523347.3445135728</v>
      </c>
      <c r="D30" s="58" t="str">
        <f>"@Age " &amp;B2+M30</f>
        <v>@Age 64</v>
      </c>
      <c r="E30" s="62">
        <f>FV(B8/12,M30*12,,-B7,1)</f>
        <v>382580.82645308523</v>
      </c>
      <c r="F30" s="60">
        <f t="shared" si="3"/>
        <v>4590969.9174370226</v>
      </c>
      <c r="L30" s="51">
        <v>24</v>
      </c>
      <c r="M30" s="51">
        <v>34</v>
      </c>
    </row>
    <row r="31" spans="1:13" ht="16.2" thickBot="1" x14ac:dyDescent="0.35">
      <c r="A31" s="58" t="str">
        <f>"@Age " &amp;B2+L31</f>
        <v>@Age 55</v>
      </c>
      <c r="B31" s="59">
        <f>FV(B8/12,L31*12,,-B7,1)</f>
        <v>223248.49060810509</v>
      </c>
      <c r="C31" s="59">
        <f t="shared" si="2"/>
        <v>2678981.887297261</v>
      </c>
      <c r="D31" s="58" t="str">
        <f>"@Age " &amp;B2+M31</f>
        <v>@Age 65</v>
      </c>
      <c r="E31" s="62">
        <f>FV(B8/12,M31*12,,-B7,1)</f>
        <v>406177.57469002251</v>
      </c>
      <c r="F31" s="60">
        <f t="shared" si="3"/>
        <v>4874130.8962802701</v>
      </c>
      <c r="L31" s="51">
        <v>25</v>
      </c>
      <c r="M31" s="51">
        <v>35</v>
      </c>
    </row>
    <row r="32" spans="1:13" ht="16.2" thickBot="1" x14ac:dyDescent="0.35">
      <c r="A32" s="58" t="str">
        <f>"@Age " &amp;B2+L32</f>
        <v>@Age 56</v>
      </c>
      <c r="B32" s="59">
        <f>FV(B8/12,L32*12,,-B7,1)</f>
        <v>237017.96901086488</v>
      </c>
      <c r="C32" s="59">
        <f t="shared" si="2"/>
        <v>2844215.6281303787</v>
      </c>
      <c r="D32" s="58" t="str">
        <f>"@Age " &amp;B2+M32</f>
        <v>@Age 66</v>
      </c>
      <c r="E32" s="62">
        <f>FV(B8/12,M32*12,,-B7,1)</f>
        <v>431229.71872533171</v>
      </c>
      <c r="F32" s="60">
        <f t="shared" si="3"/>
        <v>5174756.624703981</v>
      </c>
      <c r="L32" s="51">
        <v>26</v>
      </c>
      <c r="M32" s="51">
        <v>36</v>
      </c>
    </row>
    <row r="33" spans="1:13" ht="16.2" thickBot="1" x14ac:dyDescent="0.35">
      <c r="A33" s="58" t="str">
        <f>"@Age " &amp;B2+L33</f>
        <v>@Age 57</v>
      </c>
      <c r="B33" s="59">
        <f>FV(B8/12,L33*12,,-B7,1)</f>
        <v>251636.71871202232</v>
      </c>
      <c r="C33" s="59">
        <f t="shared" si="2"/>
        <v>3019640.624544268</v>
      </c>
      <c r="D33" s="58" t="str">
        <f>"@Age " &amp;B2+M33</f>
        <v>@Age 67</v>
      </c>
      <c r="E33" s="62">
        <f>FV(B8/12,M33*12,,-B7,1)</f>
        <v>457827.02418725297</v>
      </c>
      <c r="F33" s="60">
        <f t="shared" si="3"/>
        <v>5493924.2902470361</v>
      </c>
      <c r="L33" s="51">
        <v>27</v>
      </c>
      <c r="M33" s="51">
        <v>37</v>
      </c>
    </row>
    <row r="34" spans="1:13" ht="16.2" thickBot="1" x14ac:dyDescent="0.35">
      <c r="A34" s="58" t="str">
        <f>"@Age " &amp;B2+L34</f>
        <v>@Age 58</v>
      </c>
      <c r="B34" s="59">
        <f>FV(B8/12,L34*12,,-B7,1)</f>
        <v>267157.12090694194</v>
      </c>
      <c r="C34" s="59">
        <f t="shared" si="2"/>
        <v>3205885.4508833033</v>
      </c>
      <c r="D34" s="58" t="str">
        <f>"@Age " &amp;B2+M34</f>
        <v>@Age 68</v>
      </c>
      <c r="E34" s="62">
        <f>FV(B8/12,M34*12,,-B7,1)</f>
        <v>486064.79325155716</v>
      </c>
      <c r="F34" s="60">
        <f t="shared" si="3"/>
        <v>5832777.5190186854</v>
      </c>
      <c r="L34" s="51">
        <v>28</v>
      </c>
      <c r="M34" s="51">
        <v>38</v>
      </c>
    </row>
    <row r="35" spans="1:13" ht="16.2" thickBot="1" x14ac:dyDescent="0.35">
      <c r="A35" s="58" t="str">
        <f>"@Age " &amp;B2+L35</f>
        <v>@Age 59</v>
      </c>
      <c r="B35" s="59">
        <f>FV(B8/12,L35*12,,-B7,1)</f>
        <v>283634.78754850116</v>
      </c>
      <c r="C35" s="59">
        <f t="shared" si="2"/>
        <v>3403617.4505820139</v>
      </c>
      <c r="D35" s="58" t="str">
        <f>"@Age " &amp;B2+M35</f>
        <v>@Age 69</v>
      </c>
      <c r="E35" s="62">
        <f>FV(B8/12,M35*12,,-B7,1)</f>
        <v>516044.20612368267</v>
      </c>
      <c r="F35" s="60">
        <f t="shared" si="3"/>
        <v>6192530.473484192</v>
      </c>
      <c r="L35" s="51">
        <v>29</v>
      </c>
      <c r="M35" s="51">
        <v>39</v>
      </c>
    </row>
    <row r="36" spans="1:13" ht="16.2" thickBot="1" x14ac:dyDescent="0.35">
      <c r="A36" s="61" t="str">
        <f>"@Age " &amp;B2+L36</f>
        <v>@Age 60</v>
      </c>
      <c r="B36" s="59">
        <f>FV(B8/12,L36*12,,-B7,1)</f>
        <v>301128.76061314438</v>
      </c>
      <c r="C36" s="62">
        <f t="shared" si="2"/>
        <v>3613545.1273577325</v>
      </c>
      <c r="D36" s="61" t="str">
        <f>"@Age " &amp;B2+M36</f>
        <v>@Age 70</v>
      </c>
      <c r="E36" s="62">
        <f>FV(B8/12,M36*12,,-B7,1)</f>
        <v>547872.68358274316</v>
      </c>
      <c r="F36" s="63">
        <f t="shared" si="3"/>
        <v>6574472.202992918</v>
      </c>
      <c r="L36" s="51">
        <v>30</v>
      </c>
      <c r="M36" s="51">
        <v>40</v>
      </c>
    </row>
    <row r="37" spans="1:13" ht="15" thickBot="1" x14ac:dyDescent="0.35">
      <c r="C37" s="54">
        <f>SUM(C27:C36)</f>
        <v>28013287.839444231</v>
      </c>
      <c r="F37" s="54">
        <f>SUM(F27:F36)</f>
        <v>50967284.404591024</v>
      </c>
    </row>
    <row r="38" spans="1:13" ht="18" x14ac:dyDescent="0.35">
      <c r="A38" s="68"/>
      <c r="B38" s="80" t="s">
        <v>22</v>
      </c>
      <c r="C38" s="69" t="s">
        <v>1</v>
      </c>
      <c r="D38" s="70"/>
      <c r="E38" s="69" t="s">
        <v>22</v>
      </c>
      <c r="F38" s="71" t="s">
        <v>1</v>
      </c>
    </row>
    <row r="39" spans="1:13" ht="16.2" thickBot="1" x14ac:dyDescent="0.35">
      <c r="A39" s="58" t="str">
        <f>"@Age " &amp;B2+L39</f>
        <v>@Age 71</v>
      </c>
      <c r="B39" s="59">
        <f>FV(B8/12,L39*12,,-B7,1)</f>
        <v>581664.27188645699</v>
      </c>
      <c r="C39" s="59">
        <f t="shared" ref="C39:C48" si="4">B39*12</f>
        <v>6979971.2626374839</v>
      </c>
      <c r="D39" s="58" t="str">
        <f>"@Age " &amp;B2+M39</f>
        <v>@Age 81</v>
      </c>
      <c r="E39" s="62">
        <f>FV(B8/12,M39*12,,-B7,1)</f>
        <v>1058278.0765734841</v>
      </c>
      <c r="F39" s="60">
        <f t="shared" ref="F39:F48" si="5">E39*12</f>
        <v>12699336.918881809</v>
      </c>
      <c r="L39" s="51">
        <v>41</v>
      </c>
      <c r="M39" s="51">
        <v>51</v>
      </c>
    </row>
    <row r="40" spans="1:13" ht="16.2" thickBot="1" x14ac:dyDescent="0.35">
      <c r="A40" s="58" t="str">
        <f>"@Age " &amp;B2+L40</f>
        <v>@Age 72</v>
      </c>
      <c r="B40" s="59">
        <f>FV(B8/12,L40*12,,-B7,1)</f>
        <v>617540.05141616997</v>
      </c>
      <c r="C40" s="59">
        <f t="shared" si="4"/>
        <v>7410480.6169940401</v>
      </c>
      <c r="D40" s="58" t="str">
        <f>"@Age " &amp;B2+M40</f>
        <v>@Age 82</v>
      </c>
      <c r="E40" s="62">
        <f>FV(B8/12,M40*12,,-B7,1)</f>
        <v>1123550.3526807057</v>
      </c>
      <c r="F40" s="60">
        <f t="shared" si="5"/>
        <v>13482604.23216847</v>
      </c>
      <c r="L40" s="51">
        <v>42</v>
      </c>
      <c r="M40" s="51">
        <v>52</v>
      </c>
    </row>
    <row r="41" spans="1:13" ht="16.2" thickBot="1" x14ac:dyDescent="0.35">
      <c r="A41" s="58" t="str">
        <f>"@Age " &amp;B2+L41</f>
        <v>@Age 73</v>
      </c>
      <c r="B41" s="59">
        <f>FV(B8/12,L41*12,,-B7,1)</f>
        <v>655628.57052620873</v>
      </c>
      <c r="C41" s="59">
        <f t="shared" si="4"/>
        <v>7867542.8463145047</v>
      </c>
      <c r="D41" s="58" t="str">
        <f>"@Age " &amp;B2+M41</f>
        <v>@Age 83</v>
      </c>
      <c r="E41" s="62">
        <f>FV(B8/12,M41*12,,-B7,1)</f>
        <v>1192848.4799536364</v>
      </c>
      <c r="F41" s="60">
        <f t="shared" si="5"/>
        <v>14314181.759443637</v>
      </c>
      <c r="L41" s="51">
        <v>43</v>
      </c>
      <c r="M41" s="51">
        <v>53</v>
      </c>
    </row>
    <row r="42" spans="1:13" ht="16.2" thickBot="1" x14ac:dyDescent="0.35">
      <c r="A42" s="58" t="str">
        <f>"@Age " &amp;B2+L42</f>
        <v>@Age 74</v>
      </c>
      <c r="B42" s="59">
        <f>FV(B8/12,L42*12,,-B7,1)</f>
        <v>696066.30615211371</v>
      </c>
      <c r="C42" s="59">
        <f t="shared" si="4"/>
        <v>8352795.6738253646</v>
      </c>
      <c r="D42" s="58" t="str">
        <f>"@Age " &amp;B2+M42</f>
        <v>@Age 84</v>
      </c>
      <c r="E42" s="62">
        <f>FV(B8/12,M42*12,,-B7,1)</f>
        <v>1266420.7640830691</v>
      </c>
      <c r="F42" s="60">
        <f t="shared" si="5"/>
        <v>15197049.16899683</v>
      </c>
      <c r="L42" s="51">
        <v>44</v>
      </c>
      <c r="M42" s="51">
        <v>54</v>
      </c>
    </row>
    <row r="43" spans="1:13" ht="16.2" thickBot="1" x14ac:dyDescent="0.35">
      <c r="A43" s="58" t="str">
        <f>"@Age " &amp;B2+L43</f>
        <v>@Age 75</v>
      </c>
      <c r="B43" s="59">
        <f>FV(B8/12,L43*12,,-B7,1)</f>
        <v>738998.15282817965</v>
      </c>
      <c r="C43" s="59">
        <f t="shared" si="4"/>
        <v>8867977.8339381553</v>
      </c>
      <c r="D43" s="58" t="str">
        <f>"@Age " &amp;B2+M43</f>
        <v>@Age 85</v>
      </c>
      <c r="E43" s="62">
        <f>FV(B8/12,M43*12,,-B7,1)</f>
        <v>1344530.8257114778</v>
      </c>
      <c r="F43" s="60">
        <f t="shared" si="5"/>
        <v>16134369.908537734</v>
      </c>
      <c r="L43" s="51">
        <v>45</v>
      </c>
      <c r="M43" s="51">
        <v>55</v>
      </c>
    </row>
    <row r="44" spans="1:13" ht="16.2" thickBot="1" x14ac:dyDescent="0.35">
      <c r="A44" s="58" t="str">
        <f>"@Age " &amp;B2+L44</f>
        <v>@Age 76</v>
      </c>
      <c r="B44" s="59">
        <f>FV(B8/12,L44*12,,-B7,1)</f>
        <v>784577.94186652743</v>
      </c>
      <c r="C44" s="59">
        <f t="shared" si="4"/>
        <v>9414935.3023983296</v>
      </c>
      <c r="D44" s="58" t="str">
        <f>"@Age " &amp;B2+M44</f>
        <v>@Age 86</v>
      </c>
      <c r="E44" s="62">
        <f>FV(B8/12,M44*12,,-B7,1)</f>
        <v>1427458.5450257279</v>
      </c>
      <c r="F44" s="60">
        <f t="shared" si="5"/>
        <v>17129502.540308736</v>
      </c>
      <c r="L44" s="51">
        <v>46</v>
      </c>
      <c r="M44" s="51">
        <v>56</v>
      </c>
    </row>
    <row r="45" spans="1:13" ht="16.2" thickBot="1" x14ac:dyDescent="0.35">
      <c r="A45" s="58" t="str">
        <f>"@Age " &amp;B2+L45</f>
        <v>@Age 77</v>
      </c>
      <c r="B45" s="59">
        <f>FV(B8/12,L45*12,,-B7,1)</f>
        <v>832968.99255800573</v>
      </c>
      <c r="C45" s="59">
        <f t="shared" si="4"/>
        <v>9995627.9106960688</v>
      </c>
      <c r="D45" s="58" t="str">
        <f>"@Age " &amp;B2+M45</f>
        <v>@Age 87</v>
      </c>
      <c r="E45" s="62">
        <f>FV(B8/12,M45*12,,-B7,1)</f>
        <v>1515501.0646101944</v>
      </c>
      <c r="F45" s="60">
        <f t="shared" si="5"/>
        <v>18186012.775322333</v>
      </c>
      <c r="L45" s="51">
        <v>47</v>
      </c>
      <c r="M45" s="51">
        <v>57</v>
      </c>
    </row>
    <row r="46" spans="1:13" ht="16.2" thickBot="1" x14ac:dyDescent="0.35">
      <c r="A46" s="58" t="str">
        <f>"@Age " &amp;B2+L46</f>
        <v>@Age 78</v>
      </c>
      <c r="B46" s="59">
        <f>FV(B8/12,L46*12,,-B7,1)</f>
        <v>884344.69736995874</v>
      </c>
      <c r="C46" s="59">
        <f t="shared" si="4"/>
        <v>10612136.368439505</v>
      </c>
      <c r="D46" s="58" t="str">
        <f>"@Age " &amp;B2+M46</f>
        <v>@Age 88</v>
      </c>
      <c r="E46" s="62">
        <f>FV(B8/12,M46*12,,-B7,1)</f>
        <v>1608973.8541536678</v>
      </c>
      <c r="F46" s="60">
        <f t="shared" si="5"/>
        <v>19307686.249844015</v>
      </c>
      <c r="L46" s="51">
        <v>48</v>
      </c>
      <c r="M46" s="51">
        <v>58</v>
      </c>
    </row>
    <row r="47" spans="1:13" ht="16.2" thickBot="1" x14ac:dyDescent="0.35">
      <c r="A47" s="58" t="str">
        <f>"@Age " &amp;B2+L47</f>
        <v>@Age 79</v>
      </c>
      <c r="B47" s="59">
        <f>FV(B8/12,L47*12,,-B7,1)</f>
        <v>938889.14323770895</v>
      </c>
      <c r="C47" s="59">
        <f t="shared" si="4"/>
        <v>11266669.718852507</v>
      </c>
      <c r="D47" s="58" t="str">
        <f>"@Age " &amp;B2+M47</f>
        <v>@Age 89</v>
      </c>
      <c r="E47" s="62">
        <f>FV(B8/12,M47*12,,-B7,1)</f>
        <v>1708211.8408250536</v>
      </c>
      <c r="F47" s="60">
        <f t="shared" si="5"/>
        <v>20498542.089900643</v>
      </c>
      <c r="L47" s="51">
        <v>49</v>
      </c>
      <c r="M47" s="51">
        <v>59</v>
      </c>
    </row>
    <row r="48" spans="1:13" ht="16.2" thickBot="1" x14ac:dyDescent="0.35">
      <c r="A48" s="61" t="str">
        <f>"@Age " &amp;B2+L48</f>
        <v>@Age 80</v>
      </c>
      <c r="B48" s="59">
        <f>FV(B8/12,L48*12,,-B7,1)</f>
        <v>996797.77117594378</v>
      </c>
      <c r="C48" s="62">
        <f t="shared" si="4"/>
        <v>11961573.254111325</v>
      </c>
      <c r="D48" s="61" t="str">
        <f>"@Age " &amp;B2+M48</f>
        <v>@Age 90</v>
      </c>
      <c r="E48" s="62">
        <f>FV(B8/12,M48*12,,-B7,1)</f>
        <v>1813570.6093681681</v>
      </c>
      <c r="F48" s="63">
        <f t="shared" si="5"/>
        <v>21762847.312418018</v>
      </c>
      <c r="L48" s="51">
        <v>50</v>
      </c>
      <c r="M48" s="51">
        <v>60</v>
      </c>
    </row>
    <row r="49" spans="3:6" x14ac:dyDescent="0.3">
      <c r="C49" s="54">
        <f>SUM(C39:C48)</f>
        <v>92729710.788207278</v>
      </c>
      <c r="F49" s="54">
        <f>SUM(F39:F48)</f>
        <v>168712132.9558222</v>
      </c>
    </row>
  </sheetData>
  <sheetProtection algorithmName="SHA-512" hashValue="WvWPYOPuNQ3qZ50zRelWBJexKxs+SkHsIDGGy1SSk80h9iIqNDaBNrLQza6dIDaLiWnpOeS5CeuLkL5p23llaw==" saltValue="VAUeoatMxas7VvxUcWL+lQ==" spinCount="100000" sheet="1" selectLockedCells="1"/>
  <mergeCells count="1">
    <mergeCell ref="A1:B1"/>
  </mergeCells>
  <conditionalFormatting sqref="B15:C24">
    <cfRule type="cellIs" dxfId="13" priority="16" operator="equal">
      <formula>0</formula>
    </cfRule>
  </conditionalFormatting>
  <conditionalFormatting sqref="E15:F24">
    <cfRule type="cellIs" dxfId="12" priority="8" operator="equal">
      <formula>0</formula>
    </cfRule>
  </conditionalFormatting>
  <conditionalFormatting sqref="B27:C36">
    <cfRule type="cellIs" dxfId="11" priority="7" operator="equal">
      <formula>0</formula>
    </cfRule>
  </conditionalFormatting>
  <conditionalFormatting sqref="F27:F36">
    <cfRule type="cellIs" dxfId="10" priority="6" operator="equal">
      <formula>0</formula>
    </cfRule>
  </conditionalFormatting>
  <conditionalFormatting sqref="C39:C48">
    <cfRule type="cellIs" dxfId="9" priority="5" operator="equal">
      <formula>0</formula>
    </cfRule>
  </conditionalFormatting>
  <conditionalFormatting sqref="F39:F48">
    <cfRule type="cellIs" dxfId="8" priority="4" operator="equal">
      <formula>0</formula>
    </cfRule>
  </conditionalFormatting>
  <conditionalFormatting sqref="E27:E36">
    <cfRule type="cellIs" dxfId="7" priority="3" operator="equal">
      <formula>0</formula>
    </cfRule>
  </conditionalFormatting>
  <conditionalFormatting sqref="B39:B48">
    <cfRule type="cellIs" dxfId="6" priority="2" operator="equal">
      <formula>0</formula>
    </cfRule>
  </conditionalFormatting>
  <conditionalFormatting sqref="E39:E48">
    <cfRule type="cellIs" dxfId="5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C39C-DAB8-4AD3-B015-4EA68B33315B}">
  <dimension ref="A1:J37"/>
  <sheetViews>
    <sheetView zoomScale="120" zoomScaleNormal="120" workbookViewId="0">
      <selection activeCell="B5" sqref="B5"/>
    </sheetView>
  </sheetViews>
  <sheetFormatPr defaultRowHeight="14.4" x14ac:dyDescent="0.3"/>
  <cols>
    <col min="1" max="1" width="44.109375" style="51" bestFit="1" customWidth="1"/>
    <col min="2" max="2" width="16.109375" style="51" bestFit="1" customWidth="1"/>
    <col min="3" max="3" width="18.44140625" style="51" bestFit="1" customWidth="1"/>
    <col min="4" max="4" width="24.6640625" style="51" bestFit="1" customWidth="1"/>
    <col min="5" max="5" width="11.88671875" style="51" bestFit="1" customWidth="1"/>
    <col min="6" max="6" width="12.6640625" style="51" bestFit="1" customWidth="1"/>
    <col min="7" max="7" width="9.44140625" style="51" bestFit="1" customWidth="1"/>
    <col min="8" max="8" width="10.44140625" style="51" bestFit="1" customWidth="1"/>
    <col min="9" max="10" width="0" style="51" hidden="1" customWidth="1"/>
    <col min="11" max="16384" width="8.88671875" style="51"/>
  </cols>
  <sheetData>
    <row r="1" spans="1:10" x14ac:dyDescent="0.3">
      <c r="A1" s="102" t="s">
        <v>54</v>
      </c>
      <c r="B1" s="103"/>
    </row>
    <row r="2" spans="1:10" x14ac:dyDescent="0.3">
      <c r="A2" s="53"/>
      <c r="B2" s="52"/>
    </row>
    <row r="3" spans="1:10" ht="15" thickBot="1" x14ac:dyDescent="0.35">
      <c r="A3" s="18" t="s">
        <v>102</v>
      </c>
      <c r="B3" s="32">
        <f>'Retirement Goal - Detailed Calc'!B11</f>
        <v>31593154.7618744</v>
      </c>
    </row>
    <row r="4" spans="1:10" x14ac:dyDescent="0.3">
      <c r="A4" s="18" t="s">
        <v>98</v>
      </c>
      <c r="B4" s="94">
        <f>'Retirement Goal - Detailed Calc'!B5</f>
        <v>25</v>
      </c>
    </row>
    <row r="5" spans="1:10" x14ac:dyDescent="0.3">
      <c r="A5" s="18" t="s">
        <v>103</v>
      </c>
      <c r="B5" s="100">
        <v>100000</v>
      </c>
    </row>
    <row r="6" spans="1:10" x14ac:dyDescent="0.3">
      <c r="A6" s="18" t="s">
        <v>55</v>
      </c>
      <c r="B6" s="76">
        <v>0.08</v>
      </c>
    </row>
    <row r="7" spans="1:10" x14ac:dyDescent="0.3">
      <c r="A7" s="18" t="s">
        <v>50</v>
      </c>
      <c r="B7" s="32">
        <f>FV(B6,B4,,-B5,0)</f>
        <v>684847.51962193253</v>
      </c>
    </row>
    <row r="8" spans="1:10" x14ac:dyDescent="0.3">
      <c r="A8" s="18" t="s">
        <v>51</v>
      </c>
      <c r="B8" s="32">
        <f>B3-B7</f>
        <v>30908307.242252469</v>
      </c>
    </row>
    <row r="9" spans="1:10" x14ac:dyDescent="0.3">
      <c r="A9" s="18" t="s">
        <v>48</v>
      </c>
      <c r="B9" s="76">
        <v>0.08</v>
      </c>
    </row>
    <row r="10" spans="1:10" x14ac:dyDescent="0.3">
      <c r="A10" s="18" t="s">
        <v>49</v>
      </c>
      <c r="B10" s="32">
        <f>PMT(B9/12,B4*12,,-B8,1)</f>
        <v>32284.715378472149</v>
      </c>
    </row>
    <row r="11" spans="1:10" x14ac:dyDescent="0.3">
      <c r="B11" s="54"/>
    </row>
    <row r="13" spans="1:10" ht="15" thickBot="1" x14ac:dyDescent="0.35"/>
    <row r="14" spans="1:10" ht="18.600000000000001" thickBot="1" x14ac:dyDescent="0.35">
      <c r="A14" s="81" t="s">
        <v>57</v>
      </c>
      <c r="B14" s="85" t="s">
        <v>1</v>
      </c>
      <c r="C14" s="81"/>
      <c r="D14" s="86" t="s">
        <v>1</v>
      </c>
    </row>
    <row r="15" spans="1:10" ht="16.2" thickBot="1" x14ac:dyDescent="0.35">
      <c r="A15" s="82" t="s">
        <v>2</v>
      </c>
      <c r="B15" s="59">
        <f>FV(B9/12,I15*12,B10,,1)*-1</f>
        <v>404621.93352893722</v>
      </c>
      <c r="C15" s="83" t="s">
        <v>3</v>
      </c>
      <c r="D15" s="87">
        <f>FV(B9/12,J15*12,B10,,1)*-1</f>
        <v>6843851.5367378835</v>
      </c>
      <c r="I15" s="51">
        <v>1</v>
      </c>
      <c r="J15" s="51">
        <v>11</v>
      </c>
    </row>
    <row r="16" spans="1:10" ht="16.2" thickBot="1" x14ac:dyDescent="0.35">
      <c r="A16" s="82" t="s">
        <v>4</v>
      </c>
      <c r="B16" s="59">
        <f>FV(B9/12,I16*12,B10,,1)*-1</f>
        <v>842827.28798427794</v>
      </c>
      <c r="C16" s="83" t="s">
        <v>5</v>
      </c>
      <c r="D16" s="87">
        <f>FV(B9/12,J16*12,B10,,1)*-1</f>
        <v>7816509.7724798834</v>
      </c>
      <c r="I16" s="51">
        <v>2</v>
      </c>
      <c r="J16" s="51">
        <v>12</v>
      </c>
    </row>
    <row r="17" spans="1:10" ht="16.2" thickBot="1" x14ac:dyDescent="0.35">
      <c r="A17" s="82" t="s">
        <v>6</v>
      </c>
      <c r="B17" s="59">
        <f>FV(B9/12,I17*12,B10,,1)*-1</f>
        <v>1317403.4707398212</v>
      </c>
      <c r="C17" s="83" t="s">
        <v>7</v>
      </c>
      <c r="D17" s="87">
        <f>FV(B9/12,J17*12,B10,,1)*-1</f>
        <v>8869898.1620807294</v>
      </c>
      <c r="I17" s="51">
        <v>3</v>
      </c>
      <c r="J17" s="51">
        <v>13</v>
      </c>
    </row>
    <row r="18" spans="1:10" ht="16.2" thickBot="1" x14ac:dyDescent="0.35">
      <c r="A18" s="82" t="s">
        <v>8</v>
      </c>
      <c r="B18" s="59">
        <f>FV(B9/12,I18*12,B10,,1)*-1</f>
        <v>1831369.2426066659</v>
      </c>
      <c r="C18" s="83" t="s">
        <v>9</v>
      </c>
      <c r="D18" s="87">
        <f>FV(B9/12,J18*12,B10,,1)*-1</f>
        <v>10010717.268495211</v>
      </c>
      <c r="I18" s="51">
        <v>4</v>
      </c>
      <c r="J18" s="51">
        <v>14</v>
      </c>
    </row>
    <row r="19" spans="1:10" ht="16.2" thickBot="1" x14ac:dyDescent="0.35">
      <c r="A19" s="82" t="s">
        <v>10</v>
      </c>
      <c r="B19" s="59">
        <f>FV(B9/12,I19*12,B10,,1)*-1</f>
        <v>2387993.9200543999</v>
      </c>
      <c r="C19" s="83" t="s">
        <v>11</v>
      </c>
      <c r="D19" s="87">
        <f>FV(B9/12,J19*12,B10,,1)*-1</f>
        <v>11246223.798098676</v>
      </c>
      <c r="I19" s="51">
        <v>5</v>
      </c>
      <c r="J19" s="51">
        <v>15</v>
      </c>
    </row>
    <row r="20" spans="1:10" ht="16.2" thickBot="1" x14ac:dyDescent="0.35">
      <c r="A20" s="82" t="s">
        <v>12</v>
      </c>
      <c r="B20" s="59">
        <f>FV(B9/12,I20*12,B10,,1)*-1</f>
        <v>2990818.1712071844</v>
      </c>
      <c r="C20" s="83" t="s">
        <v>13</v>
      </c>
      <c r="D20" s="87">
        <f>FV(B9/12,J20*12,B10,,1)*-1</f>
        <v>12584276.760316683</v>
      </c>
      <c r="I20" s="51">
        <v>6</v>
      </c>
      <c r="J20" s="51">
        <v>16</v>
      </c>
    </row>
    <row r="21" spans="1:10" ht="16.2" thickBot="1" x14ac:dyDescent="0.35">
      <c r="A21" s="82" t="s">
        <v>14</v>
      </c>
      <c r="B21" s="59">
        <f>FV(B9/12,I21*12,B10,,1)*-1</f>
        <v>3643676.5378972581</v>
      </c>
      <c r="C21" s="83" t="s">
        <v>15</v>
      </c>
      <c r="D21" s="87">
        <f>FV(B9/12,J21*12,B10,,1)*-1</f>
        <v>14033387.458481114</v>
      </c>
      <c r="I21" s="51">
        <v>7</v>
      </c>
      <c r="J21" s="51">
        <v>17</v>
      </c>
    </row>
    <row r="22" spans="1:10" ht="16.2" thickBot="1" x14ac:dyDescent="0.35">
      <c r="A22" s="82" t="s">
        <v>16</v>
      </c>
      <c r="B22" s="59">
        <f>FV(B9/12,I22*12,B10,,1)*-1</f>
        <v>4350721.8270377638</v>
      </c>
      <c r="C22" s="83" t="s">
        <v>17</v>
      </c>
      <c r="D22" s="87">
        <f>FV(B9/12,J22*12,B10,,1)*-1</f>
        <v>15602773.629902685</v>
      </c>
      <c r="I22" s="51">
        <v>8</v>
      </c>
      <c r="J22" s="51">
        <v>18</v>
      </c>
    </row>
    <row r="23" spans="1:10" ht="16.2" thickBot="1" x14ac:dyDescent="0.35">
      <c r="A23" s="82" t="s">
        <v>18</v>
      </c>
      <c r="B23" s="59">
        <f>FV(B9/12,I23*12,B10,,1)*-1</f>
        <v>5116451.526467503</v>
      </c>
      <c r="C23" s="83" t="s">
        <v>19</v>
      </c>
      <c r="D23" s="87">
        <f>FV(B9/12,J23*12,B10,,1)*-1</f>
        <v>17302418.079542764</v>
      </c>
      <c r="I23" s="51">
        <v>9</v>
      </c>
      <c r="J23" s="51">
        <v>19</v>
      </c>
    </row>
    <row r="24" spans="1:10" ht="16.2" thickBot="1" x14ac:dyDescent="0.35">
      <c r="A24" s="88" t="s">
        <v>20</v>
      </c>
      <c r="B24" s="62">
        <f>FV(B9/12,I24*12,B10,,1)*-1</f>
        <v>5945736.4132977761</v>
      </c>
      <c r="C24" s="89" t="s">
        <v>21</v>
      </c>
      <c r="D24" s="90">
        <f>FV(B9/12,J24*12,B10,,1)*-1</f>
        <v>19143132.180251099</v>
      </c>
      <c r="I24" s="51">
        <v>10</v>
      </c>
      <c r="J24" s="51">
        <v>20</v>
      </c>
    </row>
    <row r="26" spans="1:10" ht="15" thickBot="1" x14ac:dyDescent="0.35"/>
    <row r="27" spans="1:10" ht="18.600000000000001" thickBot="1" x14ac:dyDescent="0.35">
      <c r="A27" s="81" t="s">
        <v>57</v>
      </c>
      <c r="B27" s="84" t="s">
        <v>1</v>
      </c>
      <c r="C27" s="81"/>
      <c r="D27" s="91" t="s">
        <v>1</v>
      </c>
    </row>
    <row r="28" spans="1:10" ht="16.2" thickBot="1" x14ac:dyDescent="0.35">
      <c r="A28" s="92" t="s">
        <v>23</v>
      </c>
      <c r="B28" s="59">
        <f>FV(B9/12,I28*12,B10,,1)*-1</f>
        <v>21136624.643491853</v>
      </c>
      <c r="C28" s="93" t="s">
        <v>24</v>
      </c>
      <c r="D28" s="90">
        <f>FV(B9/12,J28*12,B10,,1)*-1</f>
        <v>52861438.894461617</v>
      </c>
      <c r="I28" s="51">
        <v>21</v>
      </c>
      <c r="J28" s="51">
        <v>31</v>
      </c>
    </row>
    <row r="29" spans="1:10" ht="16.2" thickBot="1" x14ac:dyDescent="0.35">
      <c r="A29" s="92" t="s">
        <v>25</v>
      </c>
      <c r="B29" s="59">
        <f>FV(B9/12,I29*12,B10,,1)*-1</f>
        <v>23295575.998006068</v>
      </c>
      <c r="C29" s="93" t="s">
        <v>26</v>
      </c>
      <c r="D29" s="87">
        <f>FV(B9/12,J29*12,B10,,1)*-1</f>
        <v>57653534.185366191</v>
      </c>
      <c r="I29" s="51">
        <v>22</v>
      </c>
      <c r="J29" s="51">
        <v>32</v>
      </c>
    </row>
    <row r="30" spans="1:10" ht="16.2" thickBot="1" x14ac:dyDescent="0.35">
      <c r="A30" s="92" t="s">
        <v>27</v>
      </c>
      <c r="B30" s="59">
        <f>FV(B9/12,I30*12,B10,,1)*-1</f>
        <v>25633719.250166379</v>
      </c>
      <c r="C30" s="93" t="s">
        <v>28</v>
      </c>
      <c r="D30" s="87">
        <f>FV(B9/12,J30*12,B10,,1)*-1</f>
        <v>62843371.021990433</v>
      </c>
      <c r="I30" s="51">
        <v>23</v>
      </c>
      <c r="J30" s="51">
        <v>33</v>
      </c>
    </row>
    <row r="31" spans="1:10" ht="16.2" thickBot="1" x14ac:dyDescent="0.35">
      <c r="A31" s="92" t="s">
        <v>29</v>
      </c>
      <c r="B31" s="59">
        <f>FV(B9/12,I31*12,B10,,1)*-1</f>
        <v>28165927.239101302</v>
      </c>
      <c r="C31" s="93" t="s">
        <v>30</v>
      </c>
      <c r="D31" s="87">
        <f>FV(B9/12,J31*12,B10,,1)*-1</f>
        <v>68463961.756465942</v>
      </c>
      <c r="I31" s="51">
        <v>24</v>
      </c>
      <c r="J31" s="51">
        <v>34</v>
      </c>
    </row>
    <row r="32" spans="1:10" ht="16.2" thickBot="1" x14ac:dyDescent="0.35">
      <c r="A32" s="92" t="s">
        <v>31</v>
      </c>
      <c r="B32" s="59">
        <f>FV(B9/12,I32*12,B10,,1)*-1</f>
        <v>30908307.242251862</v>
      </c>
      <c r="C32" s="93" t="s">
        <v>32</v>
      </c>
      <c r="D32" s="87">
        <f>FV(B9/12,J32*12,B10,,1)*-1</f>
        <v>74551058.749869779</v>
      </c>
      <c r="I32" s="51">
        <v>25</v>
      </c>
      <c r="J32" s="51">
        <v>35</v>
      </c>
    </row>
    <row r="33" spans="1:10" ht="16.2" thickBot="1" x14ac:dyDescent="0.35">
      <c r="A33" s="92" t="s">
        <v>33</v>
      </c>
      <c r="B33" s="59">
        <f>FV(B9/12,I33*12,B10,,1)*-1</f>
        <v>33878303.433142699</v>
      </c>
      <c r="C33" s="93" t="s">
        <v>34</v>
      </c>
      <c r="D33" s="87">
        <f>FV(B9/12,J33*12,B10,,1)*-1</f>
        <v>81143381.791615605</v>
      </c>
      <c r="I33" s="51">
        <v>26</v>
      </c>
      <c r="J33" s="51">
        <v>36</v>
      </c>
    </row>
    <row r="34" spans="1:10" ht="16.2" thickBot="1" x14ac:dyDescent="0.35">
      <c r="A34" s="92" t="s">
        <v>35</v>
      </c>
      <c r="B34" s="59">
        <f>FV(B9/12,I34*12,B10,,1)*-1</f>
        <v>37094807.84309765</v>
      </c>
      <c r="C34" s="93" t="s">
        <v>36</v>
      </c>
      <c r="D34" s="87">
        <f>FV(B9/12,J34*12,B10,,1)*-1</f>
        <v>88282864.394542143</v>
      </c>
      <c r="I34" s="51">
        <v>27</v>
      </c>
      <c r="J34" s="51">
        <v>37</v>
      </c>
    </row>
    <row r="35" spans="1:10" ht="16.2" thickBot="1" x14ac:dyDescent="0.35">
      <c r="A35" s="92" t="s">
        <v>37</v>
      </c>
      <c r="B35" s="59">
        <f>FV(B9/12,I35*12,B10,,1)*-1</f>
        <v>40578280.532723054</v>
      </c>
      <c r="C35" s="93" t="s">
        <v>38</v>
      </c>
      <c r="D35" s="87">
        <f>FV(B9/12,J35*12,B10,,1)*-1</f>
        <v>96014920.53237237</v>
      </c>
      <c r="I35" s="51">
        <v>28</v>
      </c>
      <c r="J35" s="51">
        <v>38</v>
      </c>
    </row>
    <row r="36" spans="1:10" ht="16.2" thickBot="1" x14ac:dyDescent="0.35">
      <c r="A36" s="92" t="s">
        <v>39</v>
      </c>
      <c r="B36" s="59">
        <f>FV(B9/12,I36*12,B10,,1)*-1</f>
        <v>44350879.73756478</v>
      </c>
      <c r="C36" s="93" t="s">
        <v>40</v>
      </c>
      <c r="D36" s="87">
        <f>FV(B9/12,J36*12,B10,,1)*-1</f>
        <v>104388733.51625049</v>
      </c>
      <c r="I36" s="51">
        <v>29</v>
      </c>
      <c r="J36" s="51">
        <v>39</v>
      </c>
    </row>
    <row r="37" spans="1:10" ht="16.2" thickBot="1" x14ac:dyDescent="0.35">
      <c r="A37" s="92" t="s">
        <v>41</v>
      </c>
      <c r="B37" s="62">
        <f>FV(B9/12,I37*12,B10,,1)*-1</f>
        <v>48436602.815790787</v>
      </c>
      <c r="C37" s="93" t="s">
        <v>42</v>
      </c>
      <c r="D37" s="90">
        <f>FV(B9/12,J37*12,B10,,1)*-1</f>
        <v>113457568.84788881</v>
      </c>
      <c r="I37" s="51">
        <v>30</v>
      </c>
      <c r="J37" s="51">
        <v>40</v>
      </c>
    </row>
  </sheetData>
  <sheetProtection algorithmName="SHA-512" hashValue="tUUD6ifDHEqwYo+yXcrSDwUHy1/DgEiD6QYbcZRzp8l1slhn3alO0G6RgkFgEx+O0HGOAVmxljxUjp82th+I9Q==" saltValue="QqEeYR/SFUMoi/B4skHqHA==" spinCount="100000" sheet="1" selectLockedCells="1"/>
  <mergeCells count="1">
    <mergeCell ref="A1:B1"/>
  </mergeCells>
  <phoneticPr fontId="5" type="noConversion"/>
  <conditionalFormatting sqref="B15:B24">
    <cfRule type="cellIs" dxfId="4" priority="7" operator="equal">
      <formula>0</formula>
    </cfRule>
  </conditionalFormatting>
  <conditionalFormatting sqref="D15:D24">
    <cfRule type="cellIs" dxfId="3" priority="8" operator="equal">
      <formula>0</formula>
    </cfRule>
  </conditionalFormatting>
  <conditionalFormatting sqref="D28">
    <cfRule type="cellIs" dxfId="2" priority="1" operator="equal">
      <formula>0</formula>
    </cfRule>
  </conditionalFormatting>
  <conditionalFormatting sqref="B28:B37">
    <cfRule type="cellIs" dxfId="1" priority="2" operator="equal">
      <formula>0</formula>
    </cfRule>
  </conditionalFormatting>
  <conditionalFormatting sqref="D29:D37">
    <cfRule type="cellIs" dxfId="0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56C3-C82C-4176-8C2E-7DF7DC85BE49}">
  <dimension ref="A1"/>
  <sheetViews>
    <sheetView workbookViewId="0">
      <selection activeCell="A6" sqref="A6"/>
    </sheetView>
  </sheetViews>
  <sheetFormatPr defaultRowHeight="14.4" x14ac:dyDescent="0.3"/>
  <cols>
    <col min="1" max="1" width="124.5546875" bestFit="1" customWidth="1"/>
  </cols>
  <sheetData>
    <row r="1" spans="1:1" x14ac:dyDescent="0.3">
      <c r="A1" s="101" t="s">
        <v>104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E680CBD-DDF4-4126-8355-E0A2A10D1FEE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5454A284-7D2D-41E5-B117-EDFEA3E0E80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Calculations</vt:lpstr>
      <vt:lpstr>Retirement Goal - Detailed Calc</vt:lpstr>
      <vt:lpstr>Monthly SIP Calculator</vt:lpstr>
      <vt:lpstr>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</dc:creator>
  <cp:lastModifiedBy>Tia</cp:lastModifiedBy>
  <dcterms:created xsi:type="dcterms:W3CDTF">2019-05-04T06:54:18Z</dcterms:created>
  <dcterms:modified xsi:type="dcterms:W3CDTF">2019-06-24T04:33:45Z</dcterms:modified>
</cp:coreProperties>
</file>